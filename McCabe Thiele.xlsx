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Inputs" sheetId="1" r:id="rId1"/>
    <sheet name="McCabe Diagram" sheetId="2" r:id="rId2"/>
    <sheet name="Sheet3" sheetId="3" r:id="rId3"/>
  </sheets>
  <calcPr calcId="144525" iterateDelta="1.0000000000000001E-5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2" i="2"/>
  <c r="H3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2" i="2"/>
  <c r="A88" i="2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42" i="2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22" i="2"/>
  <c r="A23" i="2"/>
  <c r="A24" i="2"/>
  <c r="A25" i="2"/>
  <c r="A26" i="2"/>
  <c r="A27" i="2"/>
  <c r="A28" i="2"/>
  <c r="A29" i="2"/>
  <c r="A30" i="2"/>
  <c r="A31" i="2"/>
  <c r="A32" i="2"/>
  <c r="A33" i="2"/>
  <c r="A34" i="2" s="1"/>
  <c r="A35" i="2" s="1"/>
  <c r="A36" i="2" s="1"/>
  <c r="A37" i="2" s="1"/>
  <c r="A38" i="2" s="1"/>
  <c r="A39" i="2" s="1"/>
  <c r="A40" i="2" s="1"/>
  <c r="A41" i="2" s="1"/>
  <c r="A5" i="2"/>
  <c r="A6" i="2"/>
  <c r="A7" i="2"/>
  <c r="A8" i="2"/>
  <c r="A9" i="2"/>
  <c r="A10" i="2"/>
  <c r="A11" i="2"/>
  <c r="A12" i="2"/>
  <c r="A13" i="2"/>
  <c r="A14" i="2"/>
  <c r="A15" i="2"/>
  <c r="A16" i="2"/>
  <c r="A17" i="2" s="1"/>
  <c r="A18" i="2" s="1"/>
  <c r="A19" i="2" s="1"/>
  <c r="A20" i="2" s="1"/>
  <c r="A21" i="2" s="1"/>
  <c r="A4" i="2"/>
  <c r="A3" i="2"/>
</calcChain>
</file>

<file path=xl/sharedStrings.xml><?xml version="1.0" encoding="utf-8"?>
<sst xmlns="http://schemas.openxmlformats.org/spreadsheetml/2006/main" count="25" uniqueCount="25">
  <si>
    <t>α</t>
  </si>
  <si>
    <t>zF</t>
  </si>
  <si>
    <t>xD</t>
  </si>
  <si>
    <t>xB</t>
  </si>
  <si>
    <t>R</t>
  </si>
  <si>
    <t>x</t>
  </si>
  <si>
    <t>y_equib</t>
  </si>
  <si>
    <t>y_45</t>
  </si>
  <si>
    <t>y_rect</t>
  </si>
  <si>
    <t>feed line</t>
  </si>
  <si>
    <t>strip line</t>
  </si>
  <si>
    <t>y_strip</t>
  </si>
  <si>
    <t>Aksar Kumar</t>
  </si>
  <si>
    <t>McCabe–Thiele Method (Constant Relative Volatility)</t>
  </si>
  <si>
    <t>Project By-</t>
  </si>
  <si>
    <t>Relative Volatility</t>
  </si>
  <si>
    <t>Feed Composition</t>
  </si>
  <si>
    <t>Distillate Composition</t>
  </si>
  <si>
    <t>Bottom Composition</t>
  </si>
  <si>
    <t>Reflux Ratio</t>
  </si>
  <si>
    <t>Parameter</t>
  </si>
  <si>
    <t>Symbol</t>
  </si>
  <si>
    <t>Value</t>
  </si>
  <si>
    <t>After Manually Drawing steps:</t>
  </si>
  <si>
    <t>steps =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</si>
</sst>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B0F0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theme="5" tint="-0.249977111117893"/>
      <name val="Times New Roman"/>
      <family val="1"/>
    </font>
    <font>
      <b/>
      <sz val="11"/>
      <color theme="1"/>
      <name val="Cambria"/>
      <family val="1"/>
      <scheme val="major"/>
    </font>
    <font>
      <b/>
      <i/>
      <sz val="14"/>
      <color theme="1"/>
      <name val="Cambria"/>
      <family val="1"/>
      <scheme val="major"/>
    </font>
    <font>
      <b/>
      <sz val="11"/>
      <color theme="1"/>
      <name val="Arial Black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5" fillId="0" borderId="0" xfId="0" applyFont="1"/>
    <xf numFmtId="0" fontId="6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8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'McCabe Diagram'!$B$1</c:f>
              <c:strCache>
                <c:ptCount val="1"/>
                <c:pt idx="0">
                  <c:v>y_equib</c:v>
                </c:pt>
              </c:strCache>
            </c:strRef>
          </c:tx>
          <c:marker>
            <c:symbol val="none"/>
          </c:marker>
          <c:xVal>
            <c:numRef>
              <c:f>'McCabe Diagram'!$A$2:$A$130</c:f>
              <c:numCache>
                <c:formatCode>General</c:formatCode>
                <c:ptCount val="12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'McCabe Diagram'!$B$2:$B$130</c:f>
              <c:numCache>
                <c:formatCode>General</c:formatCode>
                <c:ptCount val="129"/>
                <c:pt idx="0">
                  <c:v>0</c:v>
                </c:pt>
                <c:pt idx="1">
                  <c:v>2.4630541871921187E-2</c:v>
                </c:pt>
                <c:pt idx="2">
                  <c:v>4.8543689320388349E-2</c:v>
                </c:pt>
                <c:pt idx="3">
                  <c:v>7.1770334928229665E-2</c:v>
                </c:pt>
                <c:pt idx="4">
                  <c:v>9.4339622641509441E-2</c:v>
                </c:pt>
                <c:pt idx="5">
                  <c:v>0.11627906976744186</c:v>
                </c:pt>
                <c:pt idx="6">
                  <c:v>0.13761467889908258</c:v>
                </c:pt>
                <c:pt idx="7">
                  <c:v>0.15837104072398192</c:v>
                </c:pt>
                <c:pt idx="8">
                  <c:v>0.17857142857142858</c:v>
                </c:pt>
                <c:pt idx="9">
                  <c:v>0.19823788546255505</c:v>
                </c:pt>
                <c:pt idx="10">
                  <c:v>0.21739130434782608</c:v>
                </c:pt>
                <c:pt idx="11">
                  <c:v>0.23605150214592271</c:v>
                </c:pt>
                <c:pt idx="12">
                  <c:v>0.25423728813559315</c:v>
                </c:pt>
                <c:pt idx="13">
                  <c:v>0.27196652719665271</c:v>
                </c:pt>
                <c:pt idx="14">
                  <c:v>0.28925619834710742</c:v>
                </c:pt>
                <c:pt idx="15">
                  <c:v>0.30612244897959179</c:v>
                </c:pt>
                <c:pt idx="16">
                  <c:v>0.32258064516129037</c:v>
                </c:pt>
                <c:pt idx="17">
                  <c:v>0.33864541832669331</c:v>
                </c:pt>
                <c:pt idx="18">
                  <c:v>0.35433070866141736</c:v>
                </c:pt>
                <c:pt idx="19">
                  <c:v>0.36964980544747084</c:v>
                </c:pt>
                <c:pt idx="20">
                  <c:v>0.38461538461538469</c:v>
                </c:pt>
                <c:pt idx="21">
                  <c:v>0.39923954372623588</c:v>
                </c:pt>
                <c:pt idx="22">
                  <c:v>0.41353383458646625</c:v>
                </c:pt>
                <c:pt idx="23">
                  <c:v>0.42750929368029744</c:v>
                </c:pt>
                <c:pt idx="24">
                  <c:v>0.44117647058823539</c:v>
                </c:pt>
                <c:pt idx="25">
                  <c:v>0.45454545454545464</c:v>
                </c:pt>
                <c:pt idx="26">
                  <c:v>0.46762589928057557</c:v>
                </c:pt>
                <c:pt idx="27">
                  <c:v>0.4804270462633452</c:v>
                </c:pt>
                <c:pt idx="28">
                  <c:v>0.4929577464788733</c:v>
                </c:pt>
                <c:pt idx="29">
                  <c:v>0.505226480836237</c:v>
                </c:pt>
                <c:pt idx="30">
                  <c:v>0.51724137931034486</c:v>
                </c:pt>
                <c:pt idx="31">
                  <c:v>0.52901023890784993</c:v>
                </c:pt>
                <c:pt idx="32">
                  <c:v>0.54054054054054068</c:v>
                </c:pt>
                <c:pt idx="33">
                  <c:v>0.55183946488294333</c:v>
                </c:pt>
                <c:pt idx="34">
                  <c:v>0.56291390728476831</c:v>
                </c:pt>
                <c:pt idx="35">
                  <c:v>0.57377049180327877</c:v>
                </c:pt>
                <c:pt idx="36">
                  <c:v>0.5844155844155845</c:v>
                </c:pt>
                <c:pt idx="37">
                  <c:v>0.5948553054662381</c:v>
                </c:pt>
                <c:pt idx="38">
                  <c:v>0.60509554140127408</c:v>
                </c:pt>
                <c:pt idx="39">
                  <c:v>0.61514195583596221</c:v>
                </c:pt>
                <c:pt idx="40">
                  <c:v>0.62500000000000011</c:v>
                </c:pt>
                <c:pt idx="41">
                  <c:v>0.63467492260061942</c:v>
                </c:pt>
                <c:pt idx="42">
                  <c:v>0.64417177914110446</c:v>
                </c:pt>
                <c:pt idx="43">
                  <c:v>0.65349544072948351</c:v>
                </c:pt>
                <c:pt idx="44">
                  <c:v>0.66265060240963869</c:v>
                </c:pt>
                <c:pt idx="45">
                  <c:v>0.67164179104477639</c:v>
                </c:pt>
                <c:pt idx="46">
                  <c:v>0.68047337278106523</c:v>
                </c:pt>
                <c:pt idx="47">
                  <c:v>0.68914956011730222</c:v>
                </c:pt>
                <c:pt idx="48">
                  <c:v>0.6976744186046514</c:v>
                </c:pt>
                <c:pt idx="49">
                  <c:v>0.70605187319884755</c:v>
                </c:pt>
                <c:pt idx="50">
                  <c:v>0.71428571428571441</c:v>
                </c:pt>
                <c:pt idx="51">
                  <c:v>0.72237960339943363</c:v>
                </c:pt>
                <c:pt idx="52">
                  <c:v>0.73033707865168573</c:v>
                </c:pt>
                <c:pt idx="53">
                  <c:v>0.73816155988857957</c:v>
                </c:pt>
                <c:pt idx="54">
                  <c:v>0.74585635359116031</c:v>
                </c:pt>
                <c:pt idx="55">
                  <c:v>0.75342465753424681</c:v>
                </c:pt>
                <c:pt idx="56">
                  <c:v>0.76086956521739157</c:v>
                </c:pt>
                <c:pt idx="57">
                  <c:v>0.76819407008086271</c:v>
                </c:pt>
                <c:pt idx="58">
                  <c:v>0.77540106951871668</c:v>
                </c:pt>
                <c:pt idx="59">
                  <c:v>0.78249336870026542</c:v>
                </c:pt>
                <c:pt idx="60">
                  <c:v>0.78947368421052666</c:v>
                </c:pt>
                <c:pt idx="61">
                  <c:v>0.79634464751958245</c:v>
                </c:pt>
                <c:pt idx="62">
                  <c:v>0.80310880829015552</c:v>
                </c:pt>
                <c:pt idx="63">
                  <c:v>0.80976863753213391</c:v>
                </c:pt>
                <c:pt idx="64">
                  <c:v>0.81632653061224525</c:v>
                </c:pt>
                <c:pt idx="65">
                  <c:v>0.82278481012658256</c:v>
                </c:pt>
                <c:pt idx="66">
                  <c:v>0.82914572864321623</c:v>
                </c:pt>
                <c:pt idx="67">
                  <c:v>0.83541147132169591</c:v>
                </c:pt>
                <c:pt idx="68">
                  <c:v>0.84158415841584189</c:v>
                </c:pt>
                <c:pt idx="69">
                  <c:v>0.84766584766584785</c:v>
                </c:pt>
                <c:pt idx="70">
                  <c:v>0.85365853658536595</c:v>
                </c:pt>
                <c:pt idx="71">
                  <c:v>0.85956416464891072</c:v>
                </c:pt>
                <c:pt idx="72">
                  <c:v>0.86538461538461575</c:v>
                </c:pt>
                <c:pt idx="73">
                  <c:v>0.87112171837708852</c:v>
                </c:pt>
                <c:pt idx="74">
                  <c:v>0.87677725118483429</c:v>
                </c:pt>
                <c:pt idx="75">
                  <c:v>0.88235294117647078</c:v>
                </c:pt>
                <c:pt idx="76">
                  <c:v>0.88785046728971995</c:v>
                </c:pt>
                <c:pt idx="77">
                  <c:v>0.89327146171693761</c:v>
                </c:pt>
                <c:pt idx="78">
                  <c:v>0.89861751152073743</c:v>
                </c:pt>
                <c:pt idx="79">
                  <c:v>0.90389016018306667</c:v>
                </c:pt>
                <c:pt idx="80">
                  <c:v>0.90909090909090939</c:v>
                </c:pt>
                <c:pt idx="81">
                  <c:v>0.91422121896162556</c:v>
                </c:pt>
                <c:pt idx="82">
                  <c:v>0.91928251121076254</c:v>
                </c:pt>
                <c:pt idx="83">
                  <c:v>0.92427616926503342</c:v>
                </c:pt>
                <c:pt idx="84">
                  <c:v>0.92920353982300918</c:v>
                </c:pt>
                <c:pt idx="85">
                  <c:v>0.9340659340659343</c:v>
                </c:pt>
                <c:pt idx="86">
                  <c:v>0.93886462882096089</c:v>
                </c:pt>
                <c:pt idx="87">
                  <c:v>0.94360086767895923</c:v>
                </c:pt>
                <c:pt idx="88">
                  <c:v>0.94827586206896586</c:v>
                </c:pt>
                <c:pt idx="89">
                  <c:v>0.95289079229122087</c:v>
                </c:pt>
                <c:pt idx="90">
                  <c:v>0.95744680851063846</c:v>
                </c:pt>
                <c:pt idx="91">
                  <c:v>0.9619450317124737</c:v>
                </c:pt>
                <c:pt idx="92">
                  <c:v>0.96638655462184908</c:v>
                </c:pt>
                <c:pt idx="93">
                  <c:v>0.97077244258872675</c:v>
                </c:pt>
                <c:pt idx="94">
                  <c:v>0.97510373443983422</c:v>
                </c:pt>
                <c:pt idx="95">
                  <c:v>0.97938144329896948</c:v>
                </c:pt>
                <c:pt idx="96">
                  <c:v>0.9836065573770495</c:v>
                </c:pt>
                <c:pt idx="97">
                  <c:v>0.98778004073319781</c:v>
                </c:pt>
                <c:pt idx="98">
                  <c:v>0.99190283400809731</c:v>
                </c:pt>
                <c:pt idx="99">
                  <c:v>0.99597585513078479</c:v>
                </c:pt>
                <c:pt idx="100">
                  <c:v>1.0000000000000004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'McCabe Diagram'!$C$1</c:f>
              <c:strCache>
                <c:ptCount val="1"/>
                <c:pt idx="0">
                  <c:v>y_45</c:v>
                </c:pt>
              </c:strCache>
            </c:strRef>
          </c:tx>
          <c:marker>
            <c:symbol val="none"/>
          </c:marker>
          <c:xVal>
            <c:numRef>
              <c:f>'McCabe Diagram'!$A$2:$A$130</c:f>
              <c:numCache>
                <c:formatCode>General</c:formatCode>
                <c:ptCount val="12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'McCabe Diagram'!$C$2:$C$130</c:f>
              <c:numCache>
                <c:formatCode>General</c:formatCode>
                <c:ptCount val="12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'McCabe Diagram'!$D$1</c:f>
              <c:strCache>
                <c:ptCount val="1"/>
                <c:pt idx="0">
                  <c:v>y_rect</c:v>
                </c:pt>
              </c:strCache>
            </c:strRef>
          </c:tx>
          <c:marker>
            <c:symbol val="none"/>
          </c:marker>
          <c:xVal>
            <c:numRef>
              <c:f>'McCabe Diagram'!$A$2:$A$130</c:f>
              <c:numCache>
                <c:formatCode>General</c:formatCode>
                <c:ptCount val="12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'McCabe Diagram'!$D$2:$D$130</c:f>
              <c:numCache>
                <c:formatCode>General</c:formatCode>
                <c:ptCount val="129"/>
                <c:pt idx="0">
                  <c:v>0.30499999999999999</c:v>
                </c:pt>
                <c:pt idx="1">
                  <c:v>0.31166666666666665</c:v>
                </c:pt>
                <c:pt idx="2">
                  <c:v>0.3183333333333333</c:v>
                </c:pt>
                <c:pt idx="3">
                  <c:v>0.32500000000000001</c:v>
                </c:pt>
                <c:pt idx="4">
                  <c:v>0.33166666666666667</c:v>
                </c:pt>
                <c:pt idx="5">
                  <c:v>0.33833333333333332</c:v>
                </c:pt>
                <c:pt idx="6">
                  <c:v>0.34499999999999997</c:v>
                </c:pt>
                <c:pt idx="7">
                  <c:v>0.35166666666666668</c:v>
                </c:pt>
                <c:pt idx="8">
                  <c:v>0.35833333333333334</c:v>
                </c:pt>
                <c:pt idx="9">
                  <c:v>0.36499999999999999</c:v>
                </c:pt>
                <c:pt idx="10">
                  <c:v>0.37166666666666665</c:v>
                </c:pt>
                <c:pt idx="11">
                  <c:v>0.3783333333333333</c:v>
                </c:pt>
                <c:pt idx="12">
                  <c:v>0.38500000000000001</c:v>
                </c:pt>
                <c:pt idx="13">
                  <c:v>0.39166666666666661</c:v>
                </c:pt>
                <c:pt idx="14">
                  <c:v>0.39833333333333332</c:v>
                </c:pt>
                <c:pt idx="15">
                  <c:v>0.40499999999999997</c:v>
                </c:pt>
                <c:pt idx="16">
                  <c:v>0.41166666666666663</c:v>
                </c:pt>
                <c:pt idx="17">
                  <c:v>0.41833333333333333</c:v>
                </c:pt>
                <c:pt idx="18">
                  <c:v>0.42499999999999999</c:v>
                </c:pt>
                <c:pt idx="19">
                  <c:v>0.43166666666666664</c:v>
                </c:pt>
                <c:pt idx="20">
                  <c:v>0.43833333333333335</c:v>
                </c:pt>
                <c:pt idx="21">
                  <c:v>0.44500000000000001</c:v>
                </c:pt>
                <c:pt idx="22">
                  <c:v>0.45166666666666666</c:v>
                </c:pt>
                <c:pt idx="23">
                  <c:v>0.45833333333333337</c:v>
                </c:pt>
                <c:pt idx="24">
                  <c:v>0.46500000000000002</c:v>
                </c:pt>
                <c:pt idx="25">
                  <c:v>0.47166666666666668</c:v>
                </c:pt>
                <c:pt idx="26">
                  <c:v>0.47833333333333339</c:v>
                </c:pt>
                <c:pt idx="27">
                  <c:v>0.48500000000000004</c:v>
                </c:pt>
                <c:pt idx="28">
                  <c:v>0.4916666666666667</c:v>
                </c:pt>
                <c:pt idx="29">
                  <c:v>0.49833333333333341</c:v>
                </c:pt>
                <c:pt idx="30">
                  <c:v>0.50500000000000012</c:v>
                </c:pt>
                <c:pt idx="31">
                  <c:v>0.51166666666666671</c:v>
                </c:pt>
                <c:pt idx="32">
                  <c:v>0.51833333333333342</c:v>
                </c:pt>
                <c:pt idx="33">
                  <c:v>0.52500000000000013</c:v>
                </c:pt>
                <c:pt idx="34">
                  <c:v>0.53166666666666673</c:v>
                </c:pt>
                <c:pt idx="35">
                  <c:v>0.53833333333333344</c:v>
                </c:pt>
                <c:pt idx="36">
                  <c:v>0.54500000000000015</c:v>
                </c:pt>
                <c:pt idx="37">
                  <c:v>0.55166666666666675</c:v>
                </c:pt>
                <c:pt idx="38">
                  <c:v>0.55833333333333335</c:v>
                </c:pt>
                <c:pt idx="39">
                  <c:v>0.56500000000000017</c:v>
                </c:pt>
                <c:pt idx="40">
                  <c:v>0.57166666666666677</c:v>
                </c:pt>
                <c:pt idx="41">
                  <c:v>0.57833333333333337</c:v>
                </c:pt>
                <c:pt idx="42">
                  <c:v>0.58500000000000019</c:v>
                </c:pt>
                <c:pt idx="43">
                  <c:v>0.59166666666666679</c:v>
                </c:pt>
                <c:pt idx="44">
                  <c:v>0.59833333333333338</c:v>
                </c:pt>
                <c:pt idx="45">
                  <c:v>0.6050000000000002</c:v>
                </c:pt>
                <c:pt idx="46">
                  <c:v>0.6116666666666668</c:v>
                </c:pt>
                <c:pt idx="47">
                  <c:v>0.6183333333333334</c:v>
                </c:pt>
                <c:pt idx="48">
                  <c:v>0.62500000000000022</c:v>
                </c:pt>
                <c:pt idx="49">
                  <c:v>0.63166666666666682</c:v>
                </c:pt>
                <c:pt idx="50">
                  <c:v>0.63833333333333342</c:v>
                </c:pt>
                <c:pt idx="51">
                  <c:v>0.64500000000000013</c:v>
                </c:pt>
                <c:pt idx="52">
                  <c:v>0.65166666666666684</c:v>
                </c:pt>
                <c:pt idx="53">
                  <c:v>0.65833333333333344</c:v>
                </c:pt>
                <c:pt idx="54">
                  <c:v>0.66500000000000015</c:v>
                </c:pt>
                <c:pt idx="55">
                  <c:v>0.67166666666666686</c:v>
                </c:pt>
                <c:pt idx="56">
                  <c:v>0.67833333333333345</c:v>
                </c:pt>
                <c:pt idx="57">
                  <c:v>0.68500000000000016</c:v>
                </c:pt>
                <c:pt idx="58">
                  <c:v>0.69166666666666687</c:v>
                </c:pt>
                <c:pt idx="59">
                  <c:v>0.69833333333333347</c:v>
                </c:pt>
                <c:pt idx="60">
                  <c:v>0.70500000000000018</c:v>
                </c:pt>
                <c:pt idx="61">
                  <c:v>0.71166666666666689</c:v>
                </c:pt>
                <c:pt idx="62">
                  <c:v>0.71833333333333349</c:v>
                </c:pt>
                <c:pt idx="63">
                  <c:v>0.7250000000000002</c:v>
                </c:pt>
                <c:pt idx="64">
                  <c:v>0.73166666666666691</c:v>
                </c:pt>
                <c:pt idx="65">
                  <c:v>0.73833333333333351</c:v>
                </c:pt>
                <c:pt idx="66">
                  <c:v>0.74500000000000022</c:v>
                </c:pt>
                <c:pt idx="67">
                  <c:v>0.75166666666666693</c:v>
                </c:pt>
                <c:pt idx="68">
                  <c:v>0.75833333333333353</c:v>
                </c:pt>
                <c:pt idx="69">
                  <c:v>0.76500000000000024</c:v>
                </c:pt>
                <c:pt idx="70">
                  <c:v>0.77166666666666694</c:v>
                </c:pt>
                <c:pt idx="71">
                  <c:v>0.77833333333333354</c:v>
                </c:pt>
                <c:pt idx="72">
                  <c:v>0.78500000000000025</c:v>
                </c:pt>
                <c:pt idx="73">
                  <c:v>0.79166666666666696</c:v>
                </c:pt>
                <c:pt idx="74">
                  <c:v>0.79833333333333356</c:v>
                </c:pt>
                <c:pt idx="75">
                  <c:v>0.80500000000000016</c:v>
                </c:pt>
                <c:pt idx="76">
                  <c:v>0.81166666666666698</c:v>
                </c:pt>
                <c:pt idx="77">
                  <c:v>0.81833333333333358</c:v>
                </c:pt>
                <c:pt idx="78">
                  <c:v>0.82500000000000018</c:v>
                </c:pt>
                <c:pt idx="79">
                  <c:v>0.831666666666667</c:v>
                </c:pt>
                <c:pt idx="80">
                  <c:v>0.8383333333333336</c:v>
                </c:pt>
                <c:pt idx="81">
                  <c:v>0.8450000000000002</c:v>
                </c:pt>
                <c:pt idx="82">
                  <c:v>0.85166666666666702</c:v>
                </c:pt>
                <c:pt idx="83">
                  <c:v>0.85833333333333361</c:v>
                </c:pt>
                <c:pt idx="84">
                  <c:v>0.86500000000000021</c:v>
                </c:pt>
                <c:pt idx="85">
                  <c:v>0.87166666666666703</c:v>
                </c:pt>
                <c:pt idx="86">
                  <c:v>0.87833333333333363</c:v>
                </c:pt>
                <c:pt idx="87">
                  <c:v>0.88500000000000023</c:v>
                </c:pt>
                <c:pt idx="88">
                  <c:v>0.89166666666666705</c:v>
                </c:pt>
                <c:pt idx="89">
                  <c:v>0.89833333333333365</c:v>
                </c:pt>
                <c:pt idx="90">
                  <c:v>0.90500000000000025</c:v>
                </c:pt>
                <c:pt idx="91">
                  <c:v>0.91166666666666707</c:v>
                </c:pt>
                <c:pt idx="92">
                  <c:v>0.91833333333333367</c:v>
                </c:pt>
                <c:pt idx="93">
                  <c:v>0.92500000000000027</c:v>
                </c:pt>
                <c:pt idx="94">
                  <c:v>0.93166666666666709</c:v>
                </c:pt>
                <c:pt idx="95">
                  <c:v>0.93833333333333369</c:v>
                </c:pt>
                <c:pt idx="96">
                  <c:v>0.94500000000000028</c:v>
                </c:pt>
                <c:pt idx="97">
                  <c:v>0.9516666666666671</c:v>
                </c:pt>
                <c:pt idx="98">
                  <c:v>0.9583333333333337</c:v>
                </c:pt>
                <c:pt idx="99">
                  <c:v>0.9650000000000003</c:v>
                </c:pt>
                <c:pt idx="100">
                  <c:v>0.97166666666666712</c:v>
                </c:pt>
              </c:numCache>
            </c:numRef>
          </c:yVal>
          <c:smooth val="1"/>
        </c:ser>
        <c:ser>
          <c:idx val="3"/>
          <c:order val="3"/>
          <c:tx>
            <c:v>y_strip</c:v>
          </c:tx>
          <c:marker>
            <c:symbol val="none"/>
          </c:marker>
          <c:xVal>
            <c:numRef>
              <c:f>'McCabe Diagram'!$A$2:$A$130</c:f>
              <c:numCache>
                <c:formatCode>General</c:formatCode>
                <c:ptCount val="12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'McCabe Diagram'!$F$2:$F$130</c:f>
              <c:numCache>
                <c:formatCode>General</c:formatCode>
                <c:ptCount val="12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0.05</c:v>
                </c:pt>
                <c:pt idx="6">
                  <c:v>6.5967741935483881E-2</c:v>
                </c:pt>
                <c:pt idx="7">
                  <c:v>8.1935483870967746E-2</c:v>
                </c:pt>
                <c:pt idx="8">
                  <c:v>9.790322580645161E-2</c:v>
                </c:pt>
                <c:pt idx="9">
                  <c:v>0.11387096774193547</c:v>
                </c:pt>
                <c:pt idx="10">
                  <c:v>0.12983870967741934</c:v>
                </c:pt>
                <c:pt idx="11">
                  <c:v>0.1458064516129032</c:v>
                </c:pt>
                <c:pt idx="12">
                  <c:v>0.16177419354838707</c:v>
                </c:pt>
                <c:pt idx="13">
                  <c:v>0.17774193548387091</c:v>
                </c:pt>
                <c:pt idx="14">
                  <c:v>0.1937096774193548</c:v>
                </c:pt>
                <c:pt idx="15">
                  <c:v>0.20967741935483869</c:v>
                </c:pt>
                <c:pt idx="16">
                  <c:v>0.22564516129032258</c:v>
                </c:pt>
                <c:pt idx="17">
                  <c:v>0.24161290322580647</c:v>
                </c:pt>
                <c:pt idx="18">
                  <c:v>0.25758064516129031</c:v>
                </c:pt>
                <c:pt idx="19">
                  <c:v>0.2735483870967742</c:v>
                </c:pt>
                <c:pt idx="20">
                  <c:v>0.2895161290322581</c:v>
                </c:pt>
                <c:pt idx="21">
                  <c:v>0.30548387096774193</c:v>
                </c:pt>
                <c:pt idx="22">
                  <c:v>0.32145161290322583</c:v>
                </c:pt>
                <c:pt idx="23">
                  <c:v>0.33741935483870972</c:v>
                </c:pt>
                <c:pt idx="24">
                  <c:v>0.35338709677419361</c:v>
                </c:pt>
                <c:pt idx="25">
                  <c:v>0.3693548387096775</c:v>
                </c:pt>
                <c:pt idx="26">
                  <c:v>0.38532258064516139</c:v>
                </c:pt>
                <c:pt idx="27">
                  <c:v>0.40129032258064529</c:v>
                </c:pt>
                <c:pt idx="28">
                  <c:v>0.41725806451612912</c:v>
                </c:pt>
                <c:pt idx="29">
                  <c:v>0.43322580645161302</c:v>
                </c:pt>
                <c:pt idx="30">
                  <c:v>0.44919354838709691</c:v>
                </c:pt>
                <c:pt idx="31">
                  <c:v>0.4651612903225808</c:v>
                </c:pt>
                <c:pt idx="32">
                  <c:v>0.48112903225806469</c:v>
                </c:pt>
                <c:pt idx="33">
                  <c:v>0.49709677419354859</c:v>
                </c:pt>
                <c:pt idx="34">
                  <c:v>0.51306451612903248</c:v>
                </c:pt>
                <c:pt idx="35">
                  <c:v>0.52903225806451637</c:v>
                </c:pt>
                <c:pt idx="36">
                  <c:v>0.54500000000000026</c:v>
                </c:pt>
                <c:pt idx="37">
                  <c:v>0.56096774193548415</c:v>
                </c:pt>
                <c:pt idx="38">
                  <c:v>0.57693548387096805</c:v>
                </c:pt>
                <c:pt idx="39">
                  <c:v>0.59290322580645194</c:v>
                </c:pt>
                <c:pt idx="40">
                  <c:v>0.60887096774193583</c:v>
                </c:pt>
                <c:pt idx="41">
                  <c:v>0.62483870967741972</c:v>
                </c:pt>
                <c:pt idx="42">
                  <c:v>0.64080645161290362</c:v>
                </c:pt>
                <c:pt idx="43">
                  <c:v>0.65677419354838751</c:v>
                </c:pt>
                <c:pt idx="44">
                  <c:v>0.6727419354838714</c:v>
                </c:pt>
                <c:pt idx="45">
                  <c:v>0.68870967741935529</c:v>
                </c:pt>
                <c:pt idx="46">
                  <c:v>0.70467741935483907</c:v>
                </c:pt>
                <c:pt idx="47">
                  <c:v>0.72064516129032297</c:v>
                </c:pt>
                <c:pt idx="48">
                  <c:v>0.73661290322580686</c:v>
                </c:pt>
                <c:pt idx="49">
                  <c:v>0.75258064516129075</c:v>
                </c:pt>
                <c:pt idx="50">
                  <c:v>0.76854838709677453</c:v>
                </c:pt>
                <c:pt idx="51">
                  <c:v>0.78451612903225842</c:v>
                </c:pt>
                <c:pt idx="52">
                  <c:v>0.80048387096774232</c:v>
                </c:pt>
                <c:pt idx="53">
                  <c:v>0.81645161290322621</c:v>
                </c:pt>
                <c:pt idx="54">
                  <c:v>0.8324193548387101</c:v>
                </c:pt>
                <c:pt idx="55">
                  <c:v>0.84838709677419388</c:v>
                </c:pt>
                <c:pt idx="56">
                  <c:v>0.86435483870967778</c:v>
                </c:pt>
                <c:pt idx="57">
                  <c:v>0.88032258064516167</c:v>
                </c:pt>
                <c:pt idx="58">
                  <c:v>0.89629032258064556</c:v>
                </c:pt>
                <c:pt idx="59">
                  <c:v>0.91225806451612945</c:v>
                </c:pt>
                <c:pt idx="60">
                  <c:v>0.92822580645161334</c:v>
                </c:pt>
                <c:pt idx="61">
                  <c:v>0.94419354838709724</c:v>
                </c:pt>
                <c:pt idx="62">
                  <c:v>0.96016129032258113</c:v>
                </c:pt>
                <c:pt idx="63">
                  <c:v>0.97612903225806502</c:v>
                </c:pt>
                <c:pt idx="64">
                  <c:v>0.99209677419354891</c:v>
                </c:pt>
                <c:pt idx="65">
                  <c:v>1.0080645161290327</c:v>
                </c:pt>
                <c:pt idx="66">
                  <c:v>1.0240322580645165</c:v>
                </c:pt>
                <c:pt idx="67">
                  <c:v>1.0400000000000005</c:v>
                </c:pt>
                <c:pt idx="68">
                  <c:v>1.0559677419354845</c:v>
                </c:pt>
                <c:pt idx="69">
                  <c:v>1.0719354838709683</c:v>
                </c:pt>
                <c:pt idx="70">
                  <c:v>1.0879032258064523</c:v>
                </c:pt>
                <c:pt idx="71">
                  <c:v>1.103870967741936</c:v>
                </c:pt>
                <c:pt idx="72">
                  <c:v>1.1198387096774198</c:v>
                </c:pt>
                <c:pt idx="73">
                  <c:v>1.1358064516129038</c:v>
                </c:pt>
                <c:pt idx="74">
                  <c:v>1.1517741935483876</c:v>
                </c:pt>
                <c:pt idx="75">
                  <c:v>1.1677419354838716</c:v>
                </c:pt>
                <c:pt idx="76">
                  <c:v>1.1837096774193554</c:v>
                </c:pt>
                <c:pt idx="77">
                  <c:v>1.1996774193548394</c:v>
                </c:pt>
                <c:pt idx="78">
                  <c:v>1.2156451612903232</c:v>
                </c:pt>
                <c:pt idx="79">
                  <c:v>1.2316129032258072</c:v>
                </c:pt>
                <c:pt idx="80">
                  <c:v>1.247580645161291</c:v>
                </c:pt>
                <c:pt idx="81">
                  <c:v>1.263548387096775</c:v>
                </c:pt>
                <c:pt idx="82">
                  <c:v>1.2795161290322588</c:v>
                </c:pt>
                <c:pt idx="83">
                  <c:v>1.2954838709677428</c:v>
                </c:pt>
                <c:pt idx="84">
                  <c:v>1.3114516129032265</c:v>
                </c:pt>
                <c:pt idx="85">
                  <c:v>1.3274193548387105</c:v>
                </c:pt>
                <c:pt idx="86">
                  <c:v>1.3433870967741943</c:v>
                </c:pt>
                <c:pt idx="87">
                  <c:v>1.3593548387096781</c:v>
                </c:pt>
                <c:pt idx="88">
                  <c:v>1.3753225806451621</c:v>
                </c:pt>
                <c:pt idx="89">
                  <c:v>1.3912903225806459</c:v>
                </c:pt>
                <c:pt idx="90">
                  <c:v>1.4072580645161299</c:v>
                </c:pt>
                <c:pt idx="91">
                  <c:v>1.4232258064516137</c:v>
                </c:pt>
                <c:pt idx="92">
                  <c:v>1.4391935483870977</c:v>
                </c:pt>
                <c:pt idx="93">
                  <c:v>1.4551612903225815</c:v>
                </c:pt>
                <c:pt idx="94">
                  <c:v>1.4711290322580655</c:v>
                </c:pt>
                <c:pt idx="95">
                  <c:v>1.4870967741935492</c:v>
                </c:pt>
                <c:pt idx="96">
                  <c:v>1.5030645161290332</c:v>
                </c:pt>
                <c:pt idx="97">
                  <c:v>1.519032258064517</c:v>
                </c:pt>
                <c:pt idx="98">
                  <c:v>1.535000000000001</c:v>
                </c:pt>
                <c:pt idx="99">
                  <c:v>1.5509677419354848</c:v>
                </c:pt>
                <c:pt idx="100">
                  <c:v>1.5669354838709686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'McCabe Diagram'!$E$1</c:f>
              <c:strCache>
                <c:ptCount val="1"/>
                <c:pt idx="0">
                  <c:v>feed line</c:v>
                </c:pt>
              </c:strCache>
            </c:strRef>
          </c:tx>
          <c:marker>
            <c:symbol val="none"/>
          </c:marker>
          <c:xVal>
            <c:numRef>
              <c:f>'McCabe Diagram'!$E$2:$E$102</c:f>
              <c:numCache>
                <c:formatCode>General</c:formatCode>
                <c:ptCount val="101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  <c:pt idx="3">
                  <c:v>0.36</c:v>
                </c:pt>
                <c:pt idx="4">
                  <c:v>0.36</c:v>
                </c:pt>
                <c:pt idx="5">
                  <c:v>0.36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0.36</c:v>
                </c:pt>
                <c:pt idx="16">
                  <c:v>0.36</c:v>
                </c:pt>
                <c:pt idx="17">
                  <c:v>0.36</c:v>
                </c:pt>
                <c:pt idx="18">
                  <c:v>0.36</c:v>
                </c:pt>
                <c:pt idx="19">
                  <c:v>0.36</c:v>
                </c:pt>
                <c:pt idx="20">
                  <c:v>0.36</c:v>
                </c:pt>
                <c:pt idx="21">
                  <c:v>0.36</c:v>
                </c:pt>
                <c:pt idx="22">
                  <c:v>0.36</c:v>
                </c:pt>
                <c:pt idx="23">
                  <c:v>0.36</c:v>
                </c:pt>
                <c:pt idx="24">
                  <c:v>0.36</c:v>
                </c:pt>
                <c:pt idx="25">
                  <c:v>0.36</c:v>
                </c:pt>
                <c:pt idx="26">
                  <c:v>0.36</c:v>
                </c:pt>
                <c:pt idx="27">
                  <c:v>0.36</c:v>
                </c:pt>
                <c:pt idx="28">
                  <c:v>0.36</c:v>
                </c:pt>
                <c:pt idx="29">
                  <c:v>0.36</c:v>
                </c:pt>
                <c:pt idx="30">
                  <c:v>0.36</c:v>
                </c:pt>
                <c:pt idx="31">
                  <c:v>0.36</c:v>
                </c:pt>
                <c:pt idx="32">
                  <c:v>0.36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0.36</c:v>
                </c:pt>
                <c:pt idx="39">
                  <c:v>0.36</c:v>
                </c:pt>
                <c:pt idx="40">
                  <c:v>0.36</c:v>
                </c:pt>
                <c:pt idx="41">
                  <c:v>0.36</c:v>
                </c:pt>
                <c:pt idx="42">
                  <c:v>0.36</c:v>
                </c:pt>
                <c:pt idx="43">
                  <c:v>0.36</c:v>
                </c:pt>
                <c:pt idx="44">
                  <c:v>0.36</c:v>
                </c:pt>
                <c:pt idx="45">
                  <c:v>0.36</c:v>
                </c:pt>
                <c:pt idx="46">
                  <c:v>0.36</c:v>
                </c:pt>
                <c:pt idx="47">
                  <c:v>0.36</c:v>
                </c:pt>
                <c:pt idx="48">
                  <c:v>0.36</c:v>
                </c:pt>
                <c:pt idx="49">
                  <c:v>0.36</c:v>
                </c:pt>
                <c:pt idx="50">
                  <c:v>0.36</c:v>
                </c:pt>
                <c:pt idx="51">
                  <c:v>0.36</c:v>
                </c:pt>
                <c:pt idx="52">
                  <c:v>0.36</c:v>
                </c:pt>
                <c:pt idx="53">
                  <c:v>0.36</c:v>
                </c:pt>
                <c:pt idx="54">
                  <c:v>0.36</c:v>
                </c:pt>
                <c:pt idx="55">
                  <c:v>0.36</c:v>
                </c:pt>
                <c:pt idx="56">
                  <c:v>0.36</c:v>
                </c:pt>
                <c:pt idx="57">
                  <c:v>0.36</c:v>
                </c:pt>
                <c:pt idx="58">
                  <c:v>0.36</c:v>
                </c:pt>
                <c:pt idx="59">
                  <c:v>0.36</c:v>
                </c:pt>
                <c:pt idx="60">
                  <c:v>0.36</c:v>
                </c:pt>
                <c:pt idx="61">
                  <c:v>0.36</c:v>
                </c:pt>
                <c:pt idx="62">
                  <c:v>0.36</c:v>
                </c:pt>
                <c:pt idx="63">
                  <c:v>0.36</c:v>
                </c:pt>
                <c:pt idx="64">
                  <c:v>0.36</c:v>
                </c:pt>
                <c:pt idx="65">
                  <c:v>0.36</c:v>
                </c:pt>
                <c:pt idx="66">
                  <c:v>0.36</c:v>
                </c:pt>
                <c:pt idx="67">
                  <c:v>0.36</c:v>
                </c:pt>
                <c:pt idx="68">
                  <c:v>0.36</c:v>
                </c:pt>
                <c:pt idx="69">
                  <c:v>0.36</c:v>
                </c:pt>
                <c:pt idx="70">
                  <c:v>0.36</c:v>
                </c:pt>
                <c:pt idx="71">
                  <c:v>0.36</c:v>
                </c:pt>
                <c:pt idx="72">
                  <c:v>0.36</c:v>
                </c:pt>
                <c:pt idx="73">
                  <c:v>0.36</c:v>
                </c:pt>
                <c:pt idx="74">
                  <c:v>0.36</c:v>
                </c:pt>
                <c:pt idx="75">
                  <c:v>0.36</c:v>
                </c:pt>
                <c:pt idx="76">
                  <c:v>0.36</c:v>
                </c:pt>
                <c:pt idx="77">
                  <c:v>0.36</c:v>
                </c:pt>
                <c:pt idx="78">
                  <c:v>0.36</c:v>
                </c:pt>
                <c:pt idx="79">
                  <c:v>0.36</c:v>
                </c:pt>
                <c:pt idx="80">
                  <c:v>0.36</c:v>
                </c:pt>
                <c:pt idx="81">
                  <c:v>0.36</c:v>
                </c:pt>
                <c:pt idx="82">
                  <c:v>0.36</c:v>
                </c:pt>
                <c:pt idx="83">
                  <c:v>0.36</c:v>
                </c:pt>
                <c:pt idx="84">
                  <c:v>0.36</c:v>
                </c:pt>
                <c:pt idx="85">
                  <c:v>0.36</c:v>
                </c:pt>
                <c:pt idx="86">
                  <c:v>0.36</c:v>
                </c:pt>
                <c:pt idx="87">
                  <c:v>0.36</c:v>
                </c:pt>
                <c:pt idx="88">
                  <c:v>0.36</c:v>
                </c:pt>
                <c:pt idx="89">
                  <c:v>0.36</c:v>
                </c:pt>
                <c:pt idx="90">
                  <c:v>0.36</c:v>
                </c:pt>
                <c:pt idx="91">
                  <c:v>0.36</c:v>
                </c:pt>
                <c:pt idx="92">
                  <c:v>0.36</c:v>
                </c:pt>
                <c:pt idx="93">
                  <c:v>0.36</c:v>
                </c:pt>
                <c:pt idx="94">
                  <c:v>0.36</c:v>
                </c:pt>
                <c:pt idx="95">
                  <c:v>0.36</c:v>
                </c:pt>
                <c:pt idx="96">
                  <c:v>0.36</c:v>
                </c:pt>
                <c:pt idx="97">
                  <c:v>0.36</c:v>
                </c:pt>
                <c:pt idx="98">
                  <c:v>0.36</c:v>
                </c:pt>
                <c:pt idx="99">
                  <c:v>0.36</c:v>
                </c:pt>
                <c:pt idx="100">
                  <c:v>0.36</c:v>
                </c:pt>
              </c:numCache>
            </c:numRef>
          </c:xVal>
          <c:yVal>
            <c:numRef>
              <c:f>'McCabe Diagram'!$A$2:$A$102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79680"/>
        <c:axId val="35078144"/>
      </c:scatterChart>
      <c:valAx>
        <c:axId val="35079680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35078144"/>
        <c:crosses val="autoZero"/>
        <c:crossBetween val="midCat"/>
      </c:valAx>
      <c:valAx>
        <c:axId val="35078144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079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456945425762578"/>
          <c:y val="0.17337463964545413"/>
          <c:w val="0.12018998453007944"/>
          <c:h val="0.32511530718854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137160</xdr:rowOff>
    </xdr:from>
    <xdr:ext cx="4671060" cy="939744"/>
    <xdr:sp macro="" textlink="">
      <xdr:nvSpPr>
        <xdr:cNvPr id="2" name="TextBox 1"/>
        <xdr:cNvSpPr txBox="1"/>
      </xdr:nvSpPr>
      <xdr:spPr>
        <a:xfrm>
          <a:off x="2438400" y="403860"/>
          <a:ext cx="4671060" cy="939744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 b="1">
              <a:latin typeface="+mj-lt"/>
            </a:rPr>
            <a:t>How</a:t>
          </a:r>
          <a:r>
            <a:rPr lang="en-IN" sz="1100" b="1" baseline="0">
              <a:latin typeface="+mj-lt"/>
            </a:rPr>
            <a:t> to use this File:</a:t>
          </a:r>
        </a:p>
        <a:p>
          <a:r>
            <a:rPr lang="en-IN"/>
            <a:t>- Modify input parameters (</a:t>
          </a:r>
          <a:r>
            <a:rPr lang="el-GR"/>
            <a:t>α, </a:t>
          </a:r>
          <a:r>
            <a:rPr lang="en-IN"/>
            <a:t>xD, xB, zF, R).</a:t>
          </a:r>
        </a:p>
        <a:p>
          <a:r>
            <a:rPr lang="en-IN"/>
            <a:t>- Go to </a:t>
          </a:r>
          <a:r>
            <a:rPr lang="en-IN" b="1"/>
            <a:t>Sheet 2 – “McCabe Diagram”</a:t>
          </a:r>
          <a:r>
            <a:rPr lang="en-IN"/>
            <a:t> to view the graphical construction.</a:t>
          </a:r>
        </a:p>
        <a:p>
          <a:r>
            <a:rPr lang="en-IN"/>
            <a:t>- Count theoretical stages using the stepping method.</a:t>
          </a:r>
        </a:p>
        <a:p>
          <a:endParaRPr lang="en-IN" sz="1100" b="1">
            <a:latin typeface="+mj-lt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480060</xdr:colOff>
      <xdr:row>3</xdr:row>
      <xdr:rowOff>156210</xdr:rowOff>
    </xdr:from>
    <xdr:to>
      <xdr:col>20</xdr:col>
      <xdr:colOff>68580</xdr:colOff>
      <xdr:row>23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F13" sqref="F13"/>
    </sheetView>
  </sheetViews>
  <sheetFormatPr defaultRowHeight="14.4" x14ac:dyDescent="0.3"/>
  <cols>
    <col min="1" max="1" width="15.33203125" bestFit="1" customWidth="1"/>
    <col min="12" max="12" width="10.88671875" bestFit="1" customWidth="1"/>
  </cols>
  <sheetData>
    <row r="1" spans="1:14" ht="21" x14ac:dyDescent="0.4">
      <c r="A1" s="10" t="s">
        <v>20</v>
      </c>
      <c r="B1" s="10" t="s">
        <v>21</v>
      </c>
      <c r="C1" s="10" t="s">
        <v>22</v>
      </c>
      <c r="E1" s="2" t="s">
        <v>13</v>
      </c>
    </row>
    <row r="2" spans="1:14" ht="19.2" x14ac:dyDescent="0.45">
      <c r="A2" s="11" t="s">
        <v>15</v>
      </c>
      <c r="B2" s="8" t="s">
        <v>0</v>
      </c>
      <c r="C2" s="4">
        <v>2.5</v>
      </c>
      <c r="M2" s="6" t="s">
        <v>14</v>
      </c>
      <c r="N2" s="4"/>
    </row>
    <row r="3" spans="1:14" ht="18" x14ac:dyDescent="0.35">
      <c r="A3" s="11" t="s">
        <v>16</v>
      </c>
      <c r="B3" s="9" t="s">
        <v>1</v>
      </c>
      <c r="C3" s="4">
        <v>0.36</v>
      </c>
      <c r="L3" s="3"/>
      <c r="M3" s="7" t="s">
        <v>12</v>
      </c>
      <c r="N3" s="4"/>
    </row>
    <row r="4" spans="1:14" x14ac:dyDescent="0.3">
      <c r="A4" s="11" t="s">
        <v>17</v>
      </c>
      <c r="B4" s="9" t="s">
        <v>2</v>
      </c>
      <c r="C4" s="4">
        <v>0.91500000000000004</v>
      </c>
    </row>
    <row r="5" spans="1:14" x14ac:dyDescent="0.3">
      <c r="A5" s="11" t="s">
        <v>18</v>
      </c>
      <c r="B5" s="9" t="s">
        <v>3</v>
      </c>
      <c r="C5" s="4">
        <v>0.05</v>
      </c>
    </row>
    <row r="6" spans="1:14" x14ac:dyDescent="0.3">
      <c r="A6" s="11" t="s">
        <v>19</v>
      </c>
      <c r="B6" s="9" t="s">
        <v>4</v>
      </c>
      <c r="C6" s="4">
        <v>2</v>
      </c>
    </row>
    <row r="8" spans="1:14" x14ac:dyDescent="0.3">
      <c r="G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zoomScaleNormal="100" workbookViewId="0">
      <selection activeCell="O28" sqref="O28"/>
    </sheetView>
  </sheetViews>
  <sheetFormatPr defaultRowHeight="14.4" x14ac:dyDescent="0.3"/>
  <sheetData>
    <row r="1" spans="1:8" x14ac:dyDescent="0.3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11</v>
      </c>
      <c r="G1" s="1"/>
      <c r="H1" s="9" t="s">
        <v>10</v>
      </c>
    </row>
    <row r="2" spans="1:8" x14ac:dyDescent="0.3">
      <c r="A2" s="4">
        <v>0</v>
      </c>
      <c r="B2" s="4">
        <f>(Inputs!$C$2*A2)/(1+(Inputs!$C$2-1)*A2)</f>
        <v>0</v>
      </c>
      <c r="C2" s="4">
        <f>A2</f>
        <v>0</v>
      </c>
      <c r="D2" s="4">
        <f>(Inputs!$C$6/(Inputs!$C$6+1))*A2 + (Inputs!$C$4/(Inputs!$C$6+1))</f>
        <v>0.30499999999999999</v>
      </c>
      <c r="E2" s="4">
        <f>Inputs!$C$3</f>
        <v>0.36</v>
      </c>
      <c r="F2" s="4" t="e">
        <f>IF(A2&lt;Inputs!$C$5, NA(), Inputs!$C$5 + $H$3*(A2 - Inputs!$C$5))</f>
        <v>#N/A</v>
      </c>
      <c r="H2" s="4">
        <f>(Inputs!$C$6/(Inputs!$C$6+1))*Inputs!$C$3 + (Inputs!$C$4/(Inputs!$C$6+1))</f>
        <v>0.54499999999999993</v>
      </c>
    </row>
    <row r="3" spans="1:8" x14ac:dyDescent="0.3">
      <c r="A3" s="4">
        <f>(A2+0.01)</f>
        <v>0.01</v>
      </c>
      <c r="B3" s="4">
        <f>(Inputs!$C$2*A3)/(1+(Inputs!$C$2-1)*A3)</f>
        <v>2.4630541871921187E-2</v>
      </c>
      <c r="C3" s="4">
        <f t="shared" ref="C3:C66" si="0">A3</f>
        <v>0.01</v>
      </c>
      <c r="D3" s="4">
        <f>(Inputs!$C$6/(Inputs!$C$6+1))*A3 + (Inputs!$C$4/(Inputs!$C$6+1))</f>
        <v>0.31166666666666665</v>
      </c>
      <c r="E3" s="4">
        <f>Inputs!$C$3</f>
        <v>0.36</v>
      </c>
      <c r="F3" s="4" t="e">
        <f>IF(A3&lt;Inputs!$C$5, NA(), Inputs!$C$5 + $H$3*(A3 - Inputs!$C$5))</f>
        <v>#N/A</v>
      </c>
      <c r="H3" s="4">
        <f>(H2 - Inputs!$C$5)/(Inputs!$C$3 - Inputs!$C$5)</f>
        <v>1.596774193548387</v>
      </c>
    </row>
    <row r="4" spans="1:8" x14ac:dyDescent="0.3">
      <c r="A4" s="4">
        <f>(A3+0.01)</f>
        <v>0.02</v>
      </c>
      <c r="B4" s="4">
        <f>(Inputs!$C$2*A4)/(1+(Inputs!$C$2-1)*A4)</f>
        <v>4.8543689320388349E-2</v>
      </c>
      <c r="C4" s="4">
        <f t="shared" si="0"/>
        <v>0.02</v>
      </c>
      <c r="D4" s="4">
        <f>(Inputs!$C$6/(Inputs!$C$6+1))*A4 + (Inputs!$C$4/(Inputs!$C$6+1))</f>
        <v>0.3183333333333333</v>
      </c>
      <c r="E4" s="4">
        <f>Inputs!$C$3</f>
        <v>0.36</v>
      </c>
      <c r="F4" s="4" t="e">
        <f>IF(A4&lt;Inputs!$C$5, NA(), Inputs!$C$5 + $H$3*(A4 - Inputs!$C$5))</f>
        <v>#N/A</v>
      </c>
    </row>
    <row r="5" spans="1:8" x14ac:dyDescent="0.3">
      <c r="A5" s="4">
        <f t="shared" ref="A5:A68" si="1">(A4+0.01)</f>
        <v>0.03</v>
      </c>
      <c r="B5" s="4">
        <f>(Inputs!$C$2*A5)/(1+(Inputs!$C$2-1)*A5)</f>
        <v>7.1770334928229665E-2</v>
      </c>
      <c r="C5" s="4">
        <f t="shared" si="0"/>
        <v>0.03</v>
      </c>
      <c r="D5" s="4">
        <f>(Inputs!$C$6/(Inputs!$C$6+1))*A5 + (Inputs!$C$4/(Inputs!$C$6+1))</f>
        <v>0.32500000000000001</v>
      </c>
      <c r="E5" s="4">
        <f>Inputs!$C$3</f>
        <v>0.36</v>
      </c>
      <c r="F5" s="4" t="e">
        <f>IF(A5&lt;Inputs!$C$5, NA(), Inputs!$C$5 + $H$3*(A5 - Inputs!$C$5))</f>
        <v>#N/A</v>
      </c>
    </row>
    <row r="6" spans="1:8" x14ac:dyDescent="0.3">
      <c r="A6" s="4">
        <f t="shared" si="1"/>
        <v>0.04</v>
      </c>
      <c r="B6" s="4">
        <f>(Inputs!$C$2*A6)/(1+(Inputs!$C$2-1)*A6)</f>
        <v>9.4339622641509441E-2</v>
      </c>
      <c r="C6" s="4">
        <f t="shared" si="0"/>
        <v>0.04</v>
      </c>
      <c r="D6" s="4">
        <f>(Inputs!$C$6/(Inputs!$C$6+1))*A6 + (Inputs!$C$4/(Inputs!$C$6+1))</f>
        <v>0.33166666666666667</v>
      </c>
      <c r="E6" s="4">
        <f>Inputs!$C$3</f>
        <v>0.36</v>
      </c>
      <c r="F6" s="4" t="e">
        <f>IF(A6&lt;Inputs!$C$5, NA(), Inputs!$C$5 + $H$3*(A6 - Inputs!$C$5))</f>
        <v>#N/A</v>
      </c>
    </row>
    <row r="7" spans="1:8" x14ac:dyDescent="0.3">
      <c r="A7" s="4">
        <f t="shared" si="1"/>
        <v>0.05</v>
      </c>
      <c r="B7" s="4">
        <f>(Inputs!$C$2*A7)/(1+(Inputs!$C$2-1)*A7)</f>
        <v>0.11627906976744186</v>
      </c>
      <c r="C7" s="4">
        <f t="shared" si="0"/>
        <v>0.05</v>
      </c>
      <c r="D7" s="4">
        <f>(Inputs!$C$6/(Inputs!$C$6+1))*A7 + (Inputs!$C$4/(Inputs!$C$6+1))</f>
        <v>0.33833333333333332</v>
      </c>
      <c r="E7" s="4">
        <f>Inputs!$C$3</f>
        <v>0.36</v>
      </c>
      <c r="F7" s="4">
        <f>IF(A7&lt;Inputs!$C$5, NA(), Inputs!$C$5 + $H$3*(A7 - Inputs!$C$5))</f>
        <v>0.05</v>
      </c>
    </row>
    <row r="8" spans="1:8" x14ac:dyDescent="0.3">
      <c r="A8" s="4">
        <f t="shared" si="1"/>
        <v>6.0000000000000005E-2</v>
      </c>
      <c r="B8" s="4">
        <f>(Inputs!$C$2*A8)/(1+(Inputs!$C$2-1)*A8)</f>
        <v>0.13761467889908258</v>
      </c>
      <c r="C8" s="4">
        <f t="shared" si="0"/>
        <v>6.0000000000000005E-2</v>
      </c>
      <c r="D8" s="4">
        <f>(Inputs!$C$6/(Inputs!$C$6+1))*A8 + (Inputs!$C$4/(Inputs!$C$6+1))</f>
        <v>0.34499999999999997</v>
      </c>
      <c r="E8" s="4">
        <f>Inputs!$C$3</f>
        <v>0.36</v>
      </c>
      <c r="F8" s="4">
        <f>IF(A8&lt;Inputs!$C$5, NA(), Inputs!$C$5 + $H$3*(A8 - Inputs!$C$5))</f>
        <v>6.5967741935483881E-2</v>
      </c>
    </row>
    <row r="9" spans="1:8" x14ac:dyDescent="0.3">
      <c r="A9" s="4">
        <f t="shared" si="1"/>
        <v>7.0000000000000007E-2</v>
      </c>
      <c r="B9" s="4">
        <f>(Inputs!$C$2*A9)/(1+(Inputs!$C$2-1)*A9)</f>
        <v>0.15837104072398192</v>
      </c>
      <c r="C9" s="4">
        <f t="shared" si="0"/>
        <v>7.0000000000000007E-2</v>
      </c>
      <c r="D9" s="4">
        <f>(Inputs!$C$6/(Inputs!$C$6+1))*A9 + (Inputs!$C$4/(Inputs!$C$6+1))</f>
        <v>0.35166666666666668</v>
      </c>
      <c r="E9" s="4">
        <f>Inputs!$C$3</f>
        <v>0.36</v>
      </c>
      <c r="F9" s="4">
        <f>IF(A9&lt;Inputs!$C$5, NA(), Inputs!$C$5 + $H$3*(A9 - Inputs!$C$5))</f>
        <v>8.1935483870967746E-2</v>
      </c>
    </row>
    <row r="10" spans="1:8" x14ac:dyDescent="0.3">
      <c r="A10" s="4">
        <f t="shared" si="1"/>
        <v>0.08</v>
      </c>
      <c r="B10" s="4">
        <f>(Inputs!$C$2*A10)/(1+(Inputs!$C$2-1)*A10)</f>
        <v>0.17857142857142858</v>
      </c>
      <c r="C10" s="4">
        <f t="shared" si="0"/>
        <v>0.08</v>
      </c>
      <c r="D10" s="4">
        <f>(Inputs!$C$6/(Inputs!$C$6+1))*A10 + (Inputs!$C$4/(Inputs!$C$6+1))</f>
        <v>0.35833333333333334</v>
      </c>
      <c r="E10" s="4">
        <f>Inputs!$C$3</f>
        <v>0.36</v>
      </c>
      <c r="F10" s="4">
        <f>IF(A10&lt;Inputs!$C$5, NA(), Inputs!$C$5 + $H$3*(A10 - Inputs!$C$5))</f>
        <v>9.790322580645161E-2</v>
      </c>
    </row>
    <row r="11" spans="1:8" x14ac:dyDescent="0.3">
      <c r="A11" s="4">
        <f t="shared" si="1"/>
        <v>0.09</v>
      </c>
      <c r="B11" s="4">
        <f>(Inputs!$C$2*A11)/(1+(Inputs!$C$2-1)*A11)</f>
        <v>0.19823788546255505</v>
      </c>
      <c r="C11" s="4">
        <f t="shared" si="0"/>
        <v>0.09</v>
      </c>
      <c r="D11" s="4">
        <f>(Inputs!$C$6/(Inputs!$C$6+1))*A11 + (Inputs!$C$4/(Inputs!$C$6+1))</f>
        <v>0.36499999999999999</v>
      </c>
      <c r="E11" s="4">
        <f>Inputs!$C$3</f>
        <v>0.36</v>
      </c>
      <c r="F11" s="4">
        <f>IF(A11&lt;Inputs!$C$5, NA(), Inputs!$C$5 + $H$3*(A11 - Inputs!$C$5))</f>
        <v>0.11387096774193547</v>
      </c>
    </row>
    <row r="12" spans="1:8" x14ac:dyDescent="0.3">
      <c r="A12" s="4">
        <f t="shared" si="1"/>
        <v>9.9999999999999992E-2</v>
      </c>
      <c r="B12" s="4">
        <f>(Inputs!$C$2*A12)/(1+(Inputs!$C$2-1)*A12)</f>
        <v>0.21739130434782608</v>
      </c>
      <c r="C12" s="4">
        <f t="shared" si="0"/>
        <v>9.9999999999999992E-2</v>
      </c>
      <c r="D12" s="4">
        <f>(Inputs!$C$6/(Inputs!$C$6+1))*A12 + (Inputs!$C$4/(Inputs!$C$6+1))</f>
        <v>0.37166666666666665</v>
      </c>
      <c r="E12" s="4">
        <f>Inputs!$C$3</f>
        <v>0.36</v>
      </c>
      <c r="F12" s="4">
        <f>IF(A12&lt;Inputs!$C$5, NA(), Inputs!$C$5 + $H$3*(A12 - Inputs!$C$5))</f>
        <v>0.12983870967741934</v>
      </c>
    </row>
    <row r="13" spans="1:8" x14ac:dyDescent="0.3">
      <c r="A13" s="4">
        <f t="shared" si="1"/>
        <v>0.10999999999999999</v>
      </c>
      <c r="B13" s="4">
        <f>(Inputs!$C$2*A13)/(1+(Inputs!$C$2-1)*A13)</f>
        <v>0.23605150214592271</v>
      </c>
      <c r="C13" s="4">
        <f t="shared" si="0"/>
        <v>0.10999999999999999</v>
      </c>
      <c r="D13" s="4">
        <f>(Inputs!$C$6/(Inputs!$C$6+1))*A13 + (Inputs!$C$4/(Inputs!$C$6+1))</f>
        <v>0.3783333333333333</v>
      </c>
      <c r="E13" s="4">
        <f>Inputs!$C$3</f>
        <v>0.36</v>
      </c>
      <c r="F13" s="4">
        <f>IF(A13&lt;Inputs!$C$5, NA(), Inputs!$C$5 + $H$3*(A13 - Inputs!$C$5))</f>
        <v>0.1458064516129032</v>
      </c>
    </row>
    <row r="14" spans="1:8" x14ac:dyDescent="0.3">
      <c r="A14" s="4">
        <f t="shared" si="1"/>
        <v>0.11999999999999998</v>
      </c>
      <c r="B14" s="4">
        <f>(Inputs!$C$2*A14)/(1+(Inputs!$C$2-1)*A14)</f>
        <v>0.25423728813559315</v>
      </c>
      <c r="C14" s="4">
        <f t="shared" si="0"/>
        <v>0.11999999999999998</v>
      </c>
      <c r="D14" s="4">
        <f>(Inputs!$C$6/(Inputs!$C$6+1))*A14 + (Inputs!$C$4/(Inputs!$C$6+1))</f>
        <v>0.38500000000000001</v>
      </c>
      <c r="E14" s="4">
        <f>Inputs!$C$3</f>
        <v>0.36</v>
      </c>
      <c r="F14" s="4">
        <f>IF(A14&lt;Inputs!$C$5, NA(), Inputs!$C$5 + $H$3*(A14 - Inputs!$C$5))</f>
        <v>0.16177419354838707</v>
      </c>
    </row>
    <row r="15" spans="1:8" x14ac:dyDescent="0.3">
      <c r="A15" s="4">
        <f t="shared" si="1"/>
        <v>0.12999999999999998</v>
      </c>
      <c r="B15" s="4">
        <f>(Inputs!$C$2*A15)/(1+(Inputs!$C$2-1)*A15)</f>
        <v>0.27196652719665271</v>
      </c>
      <c r="C15" s="4">
        <f t="shared" si="0"/>
        <v>0.12999999999999998</v>
      </c>
      <c r="D15" s="4">
        <f>(Inputs!$C$6/(Inputs!$C$6+1))*A15 + (Inputs!$C$4/(Inputs!$C$6+1))</f>
        <v>0.39166666666666661</v>
      </c>
      <c r="E15" s="4">
        <f>Inputs!$C$3</f>
        <v>0.36</v>
      </c>
      <c r="F15" s="4">
        <f>IF(A15&lt;Inputs!$C$5, NA(), Inputs!$C$5 + $H$3*(A15 - Inputs!$C$5))</f>
        <v>0.17774193548387091</v>
      </c>
    </row>
    <row r="16" spans="1:8" x14ac:dyDescent="0.3">
      <c r="A16" s="4">
        <f t="shared" si="1"/>
        <v>0.13999999999999999</v>
      </c>
      <c r="B16" s="4">
        <f>(Inputs!$C$2*A16)/(1+(Inputs!$C$2-1)*A16)</f>
        <v>0.28925619834710742</v>
      </c>
      <c r="C16" s="4">
        <f t="shared" si="0"/>
        <v>0.13999999999999999</v>
      </c>
      <c r="D16" s="4">
        <f>(Inputs!$C$6/(Inputs!$C$6+1))*A16 + (Inputs!$C$4/(Inputs!$C$6+1))</f>
        <v>0.39833333333333332</v>
      </c>
      <c r="E16" s="4">
        <f>Inputs!$C$3</f>
        <v>0.36</v>
      </c>
      <c r="F16" s="4">
        <f>IF(A16&lt;Inputs!$C$5, NA(), Inputs!$C$5 + $H$3*(A16 - Inputs!$C$5))</f>
        <v>0.1937096774193548</v>
      </c>
    </row>
    <row r="17" spans="1:13" x14ac:dyDescent="0.3">
      <c r="A17" s="4">
        <f t="shared" si="1"/>
        <v>0.15</v>
      </c>
      <c r="B17" s="4">
        <f>(Inputs!$C$2*A17)/(1+(Inputs!$C$2-1)*A17)</f>
        <v>0.30612244897959179</v>
      </c>
      <c r="C17" s="4">
        <f t="shared" si="0"/>
        <v>0.15</v>
      </c>
      <c r="D17" s="4">
        <f>(Inputs!$C$6/(Inputs!$C$6+1))*A17 + (Inputs!$C$4/(Inputs!$C$6+1))</f>
        <v>0.40499999999999997</v>
      </c>
      <c r="E17" s="4">
        <f>Inputs!$C$3</f>
        <v>0.36</v>
      </c>
      <c r="F17" s="4">
        <f>IF(A17&lt;Inputs!$C$5, NA(), Inputs!$C$5 + $H$3*(A17 - Inputs!$C$5))</f>
        <v>0.20967741935483869</v>
      </c>
    </row>
    <row r="18" spans="1:13" x14ac:dyDescent="0.3">
      <c r="A18" s="4">
        <f t="shared" si="1"/>
        <v>0.16</v>
      </c>
      <c r="B18" s="4">
        <f>(Inputs!$C$2*A18)/(1+(Inputs!$C$2-1)*A18)</f>
        <v>0.32258064516129037</v>
      </c>
      <c r="C18" s="4">
        <f t="shared" si="0"/>
        <v>0.16</v>
      </c>
      <c r="D18" s="4">
        <f>(Inputs!$C$6/(Inputs!$C$6+1))*A18 + (Inputs!$C$4/(Inputs!$C$6+1))</f>
        <v>0.41166666666666663</v>
      </c>
      <c r="E18" s="4">
        <f>Inputs!$C$3</f>
        <v>0.36</v>
      </c>
      <c r="F18" s="4">
        <f>IF(A18&lt;Inputs!$C$5, NA(), Inputs!$C$5 + $H$3*(A18 - Inputs!$C$5))</f>
        <v>0.22564516129032258</v>
      </c>
    </row>
    <row r="19" spans="1:13" x14ac:dyDescent="0.3">
      <c r="A19" s="4">
        <f t="shared" si="1"/>
        <v>0.17</v>
      </c>
      <c r="B19" s="4">
        <f>(Inputs!$C$2*A19)/(1+(Inputs!$C$2-1)*A19)</f>
        <v>0.33864541832669331</v>
      </c>
      <c r="C19" s="4">
        <f t="shared" si="0"/>
        <v>0.17</v>
      </c>
      <c r="D19" s="4">
        <f>(Inputs!$C$6/(Inputs!$C$6+1))*A19 + (Inputs!$C$4/(Inputs!$C$6+1))</f>
        <v>0.41833333333333333</v>
      </c>
      <c r="E19" s="4">
        <f>Inputs!$C$3</f>
        <v>0.36</v>
      </c>
      <c r="F19" s="4">
        <f>IF(A19&lt;Inputs!$C$5, NA(), Inputs!$C$5 + $H$3*(A19 - Inputs!$C$5))</f>
        <v>0.24161290322580647</v>
      </c>
    </row>
    <row r="20" spans="1:13" x14ac:dyDescent="0.3">
      <c r="A20" s="4">
        <f t="shared" si="1"/>
        <v>0.18000000000000002</v>
      </c>
      <c r="B20" s="4">
        <f>(Inputs!$C$2*A20)/(1+(Inputs!$C$2-1)*A20)</f>
        <v>0.35433070866141736</v>
      </c>
      <c r="C20" s="4">
        <f t="shared" si="0"/>
        <v>0.18000000000000002</v>
      </c>
      <c r="D20" s="4">
        <f>(Inputs!$C$6/(Inputs!$C$6+1))*A20 + (Inputs!$C$4/(Inputs!$C$6+1))</f>
        <v>0.42499999999999999</v>
      </c>
      <c r="E20" s="4">
        <f>Inputs!$C$3</f>
        <v>0.36</v>
      </c>
      <c r="F20" s="4">
        <f>IF(A20&lt;Inputs!$C$5, NA(), Inputs!$C$5 + $H$3*(A20 - Inputs!$C$5))</f>
        <v>0.25758064516129031</v>
      </c>
    </row>
    <row r="21" spans="1:13" x14ac:dyDescent="0.3">
      <c r="A21" s="4">
        <f t="shared" si="1"/>
        <v>0.19000000000000003</v>
      </c>
      <c r="B21" s="4">
        <f>(Inputs!$C$2*A21)/(1+(Inputs!$C$2-1)*A21)</f>
        <v>0.36964980544747084</v>
      </c>
      <c r="C21" s="4">
        <f t="shared" si="0"/>
        <v>0.19000000000000003</v>
      </c>
      <c r="D21" s="4">
        <f>(Inputs!$C$6/(Inputs!$C$6+1))*A21 + (Inputs!$C$4/(Inputs!$C$6+1))</f>
        <v>0.43166666666666664</v>
      </c>
      <c r="E21" s="4">
        <f>Inputs!$C$3</f>
        <v>0.36</v>
      </c>
      <c r="F21" s="4">
        <f>IF(A21&lt;Inputs!$C$5, NA(), Inputs!$C$5 + $H$3*(A21 - Inputs!$C$5))</f>
        <v>0.2735483870967742</v>
      </c>
    </row>
    <row r="22" spans="1:13" x14ac:dyDescent="0.3">
      <c r="A22" s="4">
        <f t="shared" si="1"/>
        <v>0.20000000000000004</v>
      </c>
      <c r="B22" s="4">
        <f>(Inputs!$C$2*A22)/(1+(Inputs!$C$2-1)*A22)</f>
        <v>0.38461538461538469</v>
      </c>
      <c r="C22" s="4">
        <f t="shared" si="0"/>
        <v>0.20000000000000004</v>
      </c>
      <c r="D22" s="4">
        <f>(Inputs!$C$6/(Inputs!$C$6+1))*A22 + (Inputs!$C$4/(Inputs!$C$6+1))</f>
        <v>0.43833333333333335</v>
      </c>
      <c r="E22" s="4">
        <f>Inputs!$C$3</f>
        <v>0.36</v>
      </c>
      <c r="F22" s="4">
        <f>IF(A22&lt;Inputs!$C$5, NA(), Inputs!$C$5 + $H$3*(A22 - Inputs!$C$5))</f>
        <v>0.2895161290322581</v>
      </c>
    </row>
    <row r="23" spans="1:13" x14ac:dyDescent="0.3">
      <c r="A23" s="4">
        <f t="shared" si="1"/>
        <v>0.21000000000000005</v>
      </c>
      <c r="B23" s="4">
        <f>(Inputs!$C$2*A23)/(1+(Inputs!$C$2-1)*A23)</f>
        <v>0.39923954372623588</v>
      </c>
      <c r="C23" s="4">
        <f t="shared" si="0"/>
        <v>0.21000000000000005</v>
      </c>
      <c r="D23" s="4">
        <f>(Inputs!$C$6/(Inputs!$C$6+1))*A23 + (Inputs!$C$4/(Inputs!$C$6+1))</f>
        <v>0.44500000000000001</v>
      </c>
      <c r="E23" s="4">
        <f>Inputs!$C$3</f>
        <v>0.36</v>
      </c>
      <c r="F23" s="4">
        <f>IF(A23&lt;Inputs!$C$5, NA(), Inputs!$C$5 + $H$3*(A23 - Inputs!$C$5))</f>
        <v>0.30548387096774193</v>
      </c>
    </row>
    <row r="24" spans="1:13" x14ac:dyDescent="0.3">
      <c r="A24" s="4">
        <f t="shared" si="1"/>
        <v>0.22000000000000006</v>
      </c>
      <c r="B24" s="4">
        <f>(Inputs!$C$2*A24)/(1+(Inputs!$C$2-1)*A24)</f>
        <v>0.41353383458646625</v>
      </c>
      <c r="C24" s="4">
        <f t="shared" si="0"/>
        <v>0.22000000000000006</v>
      </c>
      <c r="D24" s="4">
        <f>(Inputs!$C$6/(Inputs!$C$6+1))*A24 + (Inputs!$C$4/(Inputs!$C$6+1))</f>
        <v>0.45166666666666666</v>
      </c>
      <c r="E24" s="4">
        <f>Inputs!$C$3</f>
        <v>0.36</v>
      </c>
      <c r="F24" s="4">
        <f>IF(A24&lt;Inputs!$C$5, NA(), Inputs!$C$5 + $H$3*(A24 - Inputs!$C$5))</f>
        <v>0.32145161290322583</v>
      </c>
    </row>
    <row r="25" spans="1:13" x14ac:dyDescent="0.3">
      <c r="A25" s="4">
        <f t="shared" si="1"/>
        <v>0.23000000000000007</v>
      </c>
      <c r="B25" s="4">
        <f>(Inputs!$C$2*A25)/(1+(Inputs!$C$2-1)*A25)</f>
        <v>0.42750929368029744</v>
      </c>
      <c r="C25" s="4">
        <f t="shared" si="0"/>
        <v>0.23000000000000007</v>
      </c>
      <c r="D25" s="4">
        <f>(Inputs!$C$6/(Inputs!$C$6+1))*A25 + (Inputs!$C$4/(Inputs!$C$6+1))</f>
        <v>0.45833333333333337</v>
      </c>
      <c r="E25" s="4">
        <f>Inputs!$C$3</f>
        <v>0.36</v>
      </c>
      <c r="F25" s="4">
        <f>IF(A25&lt;Inputs!$C$5, NA(), Inputs!$C$5 + $H$3*(A25 - Inputs!$C$5))</f>
        <v>0.33741935483870972</v>
      </c>
    </row>
    <row r="26" spans="1:13" x14ac:dyDescent="0.3">
      <c r="A26" s="4">
        <f t="shared" si="1"/>
        <v>0.24000000000000007</v>
      </c>
      <c r="B26" s="4">
        <f>(Inputs!$C$2*A26)/(1+(Inputs!$C$2-1)*A26)</f>
        <v>0.44117647058823539</v>
      </c>
      <c r="C26" s="4">
        <f t="shared" si="0"/>
        <v>0.24000000000000007</v>
      </c>
      <c r="D26" s="4">
        <f>(Inputs!$C$6/(Inputs!$C$6+1))*A26 + (Inputs!$C$4/(Inputs!$C$6+1))</f>
        <v>0.46500000000000002</v>
      </c>
      <c r="E26" s="4">
        <f>Inputs!$C$3</f>
        <v>0.36</v>
      </c>
      <c r="F26" s="4">
        <f>IF(A26&lt;Inputs!$C$5, NA(), Inputs!$C$5 + $H$3*(A26 - Inputs!$C$5))</f>
        <v>0.35338709677419361</v>
      </c>
    </row>
    <row r="27" spans="1:13" x14ac:dyDescent="0.3">
      <c r="A27" s="4">
        <f t="shared" si="1"/>
        <v>0.25000000000000006</v>
      </c>
      <c r="B27" s="4">
        <f>(Inputs!$C$2*A27)/(1+(Inputs!$C$2-1)*A27)</f>
        <v>0.45454545454545464</v>
      </c>
      <c r="C27" s="4">
        <f t="shared" si="0"/>
        <v>0.25000000000000006</v>
      </c>
      <c r="D27" s="4">
        <f>(Inputs!$C$6/(Inputs!$C$6+1))*A27 + (Inputs!$C$4/(Inputs!$C$6+1))</f>
        <v>0.47166666666666668</v>
      </c>
      <c r="E27" s="4">
        <f>Inputs!$C$3</f>
        <v>0.36</v>
      </c>
      <c r="F27" s="4">
        <f>IF(A27&lt;Inputs!$C$5, NA(), Inputs!$C$5 + $H$3*(A27 - Inputs!$C$5))</f>
        <v>0.3693548387096775</v>
      </c>
      <c r="K27" s="4" t="s">
        <v>23</v>
      </c>
      <c r="L27" s="4"/>
      <c r="M27" s="4"/>
    </row>
    <row r="28" spans="1:13" x14ac:dyDescent="0.3">
      <c r="A28" s="4">
        <f t="shared" si="1"/>
        <v>0.26000000000000006</v>
      </c>
      <c r="B28" s="4">
        <f>(Inputs!$C$2*A28)/(1+(Inputs!$C$2-1)*A28)</f>
        <v>0.46762589928057557</v>
      </c>
      <c r="C28" s="4">
        <f t="shared" si="0"/>
        <v>0.26000000000000006</v>
      </c>
      <c r="D28" s="4">
        <f>(Inputs!$C$6/(Inputs!$C$6+1))*A28 + (Inputs!$C$4/(Inputs!$C$6+1))</f>
        <v>0.47833333333333339</v>
      </c>
      <c r="E28" s="4">
        <f>Inputs!$C$3</f>
        <v>0.36</v>
      </c>
      <c r="F28" s="4">
        <f>IF(A28&lt;Inputs!$C$5, NA(), Inputs!$C$5 + $H$3*(A28 - Inputs!$C$5))</f>
        <v>0.38532258064516139</v>
      </c>
      <c r="K28" s="4" t="s">
        <v>24</v>
      </c>
      <c r="L28" s="4"/>
      <c r="M28" s="4"/>
    </row>
    <row r="29" spans="1:13" x14ac:dyDescent="0.3">
      <c r="A29" s="4">
        <f t="shared" si="1"/>
        <v>0.27000000000000007</v>
      </c>
      <c r="B29" s="4">
        <f>(Inputs!$C$2*A29)/(1+(Inputs!$C$2-1)*A29)</f>
        <v>0.4804270462633452</v>
      </c>
      <c r="C29" s="4">
        <f t="shared" si="0"/>
        <v>0.27000000000000007</v>
      </c>
      <c r="D29" s="4">
        <f>(Inputs!$C$6/(Inputs!$C$6+1))*A29 + (Inputs!$C$4/(Inputs!$C$6+1))</f>
        <v>0.48500000000000004</v>
      </c>
      <c r="E29" s="4">
        <f>Inputs!$C$3</f>
        <v>0.36</v>
      </c>
      <c r="F29" s="4">
        <f>IF(A29&lt;Inputs!$C$5, NA(), Inputs!$C$5 + $H$3*(A29 - Inputs!$C$5))</f>
        <v>0.40129032258064529</v>
      </c>
    </row>
    <row r="30" spans="1:13" x14ac:dyDescent="0.3">
      <c r="A30" s="4">
        <f t="shared" si="1"/>
        <v>0.28000000000000008</v>
      </c>
      <c r="B30" s="4">
        <f>(Inputs!$C$2*A30)/(1+(Inputs!$C$2-1)*A30)</f>
        <v>0.4929577464788733</v>
      </c>
      <c r="C30" s="4">
        <f t="shared" si="0"/>
        <v>0.28000000000000008</v>
      </c>
      <c r="D30" s="4">
        <f>(Inputs!$C$6/(Inputs!$C$6+1))*A30 + (Inputs!$C$4/(Inputs!$C$6+1))</f>
        <v>0.4916666666666667</v>
      </c>
      <c r="E30" s="4">
        <f>Inputs!$C$3</f>
        <v>0.36</v>
      </c>
      <c r="F30" s="4">
        <f>IF(A30&lt;Inputs!$C$5, NA(), Inputs!$C$5 + $H$3*(A30 - Inputs!$C$5))</f>
        <v>0.41725806451612912</v>
      </c>
    </row>
    <row r="31" spans="1:13" x14ac:dyDescent="0.3">
      <c r="A31" s="4">
        <f t="shared" si="1"/>
        <v>0.29000000000000009</v>
      </c>
      <c r="B31" s="4">
        <f>(Inputs!$C$2*A31)/(1+(Inputs!$C$2-1)*A31)</f>
        <v>0.505226480836237</v>
      </c>
      <c r="C31" s="4">
        <f t="shared" si="0"/>
        <v>0.29000000000000009</v>
      </c>
      <c r="D31" s="4">
        <f>(Inputs!$C$6/(Inputs!$C$6+1))*A31 + (Inputs!$C$4/(Inputs!$C$6+1))</f>
        <v>0.49833333333333341</v>
      </c>
      <c r="E31" s="4">
        <f>Inputs!$C$3</f>
        <v>0.36</v>
      </c>
      <c r="F31" s="4">
        <f>IF(A31&lt;Inputs!$C$5, NA(), Inputs!$C$5 + $H$3*(A31 - Inputs!$C$5))</f>
        <v>0.43322580645161302</v>
      </c>
    </row>
    <row r="32" spans="1:13" x14ac:dyDescent="0.3">
      <c r="A32" s="4">
        <f t="shared" si="1"/>
        <v>0.3000000000000001</v>
      </c>
      <c r="B32" s="4">
        <f>(Inputs!$C$2*A32)/(1+(Inputs!$C$2-1)*A32)</f>
        <v>0.51724137931034486</v>
      </c>
      <c r="C32" s="4">
        <f t="shared" si="0"/>
        <v>0.3000000000000001</v>
      </c>
      <c r="D32" s="4">
        <f>(Inputs!$C$6/(Inputs!$C$6+1))*A32 + (Inputs!$C$4/(Inputs!$C$6+1))</f>
        <v>0.50500000000000012</v>
      </c>
      <c r="E32" s="4">
        <f>Inputs!$C$3</f>
        <v>0.36</v>
      </c>
      <c r="F32" s="4">
        <f>IF(A32&lt;Inputs!$C$5, NA(), Inputs!$C$5 + $H$3*(A32 - Inputs!$C$5))</f>
        <v>0.44919354838709691</v>
      </c>
    </row>
    <row r="33" spans="1:6" x14ac:dyDescent="0.3">
      <c r="A33" s="4">
        <f t="shared" si="1"/>
        <v>0.31000000000000011</v>
      </c>
      <c r="B33" s="4">
        <f>(Inputs!$C$2*A33)/(1+(Inputs!$C$2-1)*A33)</f>
        <v>0.52901023890784993</v>
      </c>
      <c r="C33" s="4">
        <f t="shared" si="0"/>
        <v>0.31000000000000011</v>
      </c>
      <c r="D33" s="4">
        <f>(Inputs!$C$6/(Inputs!$C$6+1))*A33 + (Inputs!$C$4/(Inputs!$C$6+1))</f>
        <v>0.51166666666666671</v>
      </c>
      <c r="E33" s="4">
        <f>Inputs!$C$3</f>
        <v>0.36</v>
      </c>
      <c r="F33" s="4">
        <f>IF(A33&lt;Inputs!$C$5, NA(), Inputs!$C$5 + $H$3*(A33 - Inputs!$C$5))</f>
        <v>0.4651612903225808</v>
      </c>
    </row>
    <row r="34" spans="1:6" x14ac:dyDescent="0.3">
      <c r="A34" s="4">
        <f t="shared" si="1"/>
        <v>0.32000000000000012</v>
      </c>
      <c r="B34" s="4">
        <f>(Inputs!$C$2*A34)/(1+(Inputs!$C$2-1)*A34)</f>
        <v>0.54054054054054068</v>
      </c>
      <c r="C34" s="4">
        <f t="shared" si="0"/>
        <v>0.32000000000000012</v>
      </c>
      <c r="D34" s="4">
        <f>(Inputs!$C$6/(Inputs!$C$6+1))*A34 + (Inputs!$C$4/(Inputs!$C$6+1))</f>
        <v>0.51833333333333342</v>
      </c>
      <c r="E34" s="4">
        <f>Inputs!$C$3</f>
        <v>0.36</v>
      </c>
      <c r="F34" s="4">
        <f>IF(A34&lt;Inputs!$C$5, NA(), Inputs!$C$5 + $H$3*(A34 - Inputs!$C$5))</f>
        <v>0.48112903225806469</v>
      </c>
    </row>
    <row r="35" spans="1:6" x14ac:dyDescent="0.3">
      <c r="A35" s="4">
        <f t="shared" si="1"/>
        <v>0.33000000000000013</v>
      </c>
      <c r="B35" s="4">
        <f>(Inputs!$C$2*A35)/(1+(Inputs!$C$2-1)*A35)</f>
        <v>0.55183946488294333</v>
      </c>
      <c r="C35" s="4">
        <f t="shared" si="0"/>
        <v>0.33000000000000013</v>
      </c>
      <c r="D35" s="4">
        <f>(Inputs!$C$6/(Inputs!$C$6+1))*A35 + (Inputs!$C$4/(Inputs!$C$6+1))</f>
        <v>0.52500000000000013</v>
      </c>
      <c r="E35" s="4">
        <f>Inputs!$C$3</f>
        <v>0.36</v>
      </c>
      <c r="F35" s="4">
        <f>IF(A35&lt;Inputs!$C$5, NA(), Inputs!$C$5 + $H$3*(A35 - Inputs!$C$5))</f>
        <v>0.49709677419354859</v>
      </c>
    </row>
    <row r="36" spans="1:6" x14ac:dyDescent="0.3">
      <c r="A36" s="4">
        <f t="shared" si="1"/>
        <v>0.34000000000000014</v>
      </c>
      <c r="B36" s="4">
        <f>(Inputs!$C$2*A36)/(1+(Inputs!$C$2-1)*A36)</f>
        <v>0.56291390728476831</v>
      </c>
      <c r="C36" s="4">
        <f t="shared" si="0"/>
        <v>0.34000000000000014</v>
      </c>
      <c r="D36" s="4">
        <f>(Inputs!$C$6/(Inputs!$C$6+1))*A36 + (Inputs!$C$4/(Inputs!$C$6+1))</f>
        <v>0.53166666666666673</v>
      </c>
      <c r="E36" s="4">
        <f>Inputs!$C$3</f>
        <v>0.36</v>
      </c>
      <c r="F36" s="4">
        <f>IF(A36&lt;Inputs!$C$5, NA(), Inputs!$C$5 + $H$3*(A36 - Inputs!$C$5))</f>
        <v>0.51306451612903248</v>
      </c>
    </row>
    <row r="37" spans="1:6" x14ac:dyDescent="0.3">
      <c r="A37" s="4">
        <f t="shared" si="1"/>
        <v>0.35000000000000014</v>
      </c>
      <c r="B37" s="4">
        <f>(Inputs!$C$2*A37)/(1+(Inputs!$C$2-1)*A37)</f>
        <v>0.57377049180327877</v>
      </c>
      <c r="C37" s="4">
        <f t="shared" si="0"/>
        <v>0.35000000000000014</v>
      </c>
      <c r="D37" s="4">
        <f>(Inputs!$C$6/(Inputs!$C$6+1))*A37 + (Inputs!$C$4/(Inputs!$C$6+1))</f>
        <v>0.53833333333333344</v>
      </c>
      <c r="E37" s="4">
        <f>Inputs!$C$3</f>
        <v>0.36</v>
      </c>
      <c r="F37" s="4">
        <f>IF(A37&lt;Inputs!$C$5, NA(), Inputs!$C$5 + $H$3*(A37 - Inputs!$C$5))</f>
        <v>0.52903225806451637</v>
      </c>
    </row>
    <row r="38" spans="1:6" x14ac:dyDescent="0.3">
      <c r="A38" s="4">
        <f t="shared" si="1"/>
        <v>0.36000000000000015</v>
      </c>
      <c r="B38" s="4">
        <f>(Inputs!$C$2*A38)/(1+(Inputs!$C$2-1)*A38)</f>
        <v>0.5844155844155845</v>
      </c>
      <c r="C38" s="4">
        <f t="shared" si="0"/>
        <v>0.36000000000000015</v>
      </c>
      <c r="D38" s="4">
        <f>(Inputs!$C$6/(Inputs!$C$6+1))*A38 + (Inputs!$C$4/(Inputs!$C$6+1))</f>
        <v>0.54500000000000015</v>
      </c>
      <c r="E38" s="4">
        <f>Inputs!$C$3</f>
        <v>0.36</v>
      </c>
      <c r="F38" s="4">
        <f>IF(A38&lt;Inputs!$C$5, NA(), Inputs!$C$5 + $H$3*(A38 - Inputs!$C$5))</f>
        <v>0.54500000000000026</v>
      </c>
    </row>
    <row r="39" spans="1:6" x14ac:dyDescent="0.3">
      <c r="A39" s="4">
        <f t="shared" si="1"/>
        <v>0.37000000000000016</v>
      </c>
      <c r="B39" s="4">
        <f>(Inputs!$C$2*A39)/(1+(Inputs!$C$2-1)*A39)</f>
        <v>0.5948553054662381</v>
      </c>
      <c r="C39" s="4">
        <f t="shared" si="0"/>
        <v>0.37000000000000016</v>
      </c>
      <c r="D39" s="4">
        <f>(Inputs!$C$6/(Inputs!$C$6+1))*A39 + (Inputs!$C$4/(Inputs!$C$6+1))</f>
        <v>0.55166666666666675</v>
      </c>
      <c r="E39" s="4">
        <f>Inputs!$C$3</f>
        <v>0.36</v>
      </c>
      <c r="F39" s="4">
        <f>IF(A39&lt;Inputs!$C$5, NA(), Inputs!$C$5 + $H$3*(A39 - Inputs!$C$5))</f>
        <v>0.56096774193548415</v>
      </c>
    </row>
    <row r="40" spans="1:6" x14ac:dyDescent="0.3">
      <c r="A40" s="4">
        <f t="shared" si="1"/>
        <v>0.38000000000000017</v>
      </c>
      <c r="B40" s="4">
        <f>(Inputs!$C$2*A40)/(1+(Inputs!$C$2-1)*A40)</f>
        <v>0.60509554140127408</v>
      </c>
      <c r="C40" s="4">
        <f t="shared" si="0"/>
        <v>0.38000000000000017</v>
      </c>
      <c r="D40" s="4">
        <f>(Inputs!$C$6/(Inputs!$C$6+1))*A40 + (Inputs!$C$4/(Inputs!$C$6+1))</f>
        <v>0.55833333333333335</v>
      </c>
      <c r="E40" s="4">
        <f>Inputs!$C$3</f>
        <v>0.36</v>
      </c>
      <c r="F40" s="4">
        <f>IF(A40&lt;Inputs!$C$5, NA(), Inputs!$C$5 + $H$3*(A40 - Inputs!$C$5))</f>
        <v>0.57693548387096805</v>
      </c>
    </row>
    <row r="41" spans="1:6" x14ac:dyDescent="0.3">
      <c r="A41" s="4">
        <f t="shared" si="1"/>
        <v>0.39000000000000018</v>
      </c>
      <c r="B41" s="4">
        <f>(Inputs!$C$2*A41)/(1+(Inputs!$C$2-1)*A41)</f>
        <v>0.61514195583596221</v>
      </c>
      <c r="C41" s="4">
        <f t="shared" si="0"/>
        <v>0.39000000000000018</v>
      </c>
      <c r="D41" s="4">
        <f>(Inputs!$C$6/(Inputs!$C$6+1))*A41 + (Inputs!$C$4/(Inputs!$C$6+1))</f>
        <v>0.56500000000000017</v>
      </c>
      <c r="E41" s="4">
        <f>Inputs!$C$3</f>
        <v>0.36</v>
      </c>
      <c r="F41" s="4">
        <f>IF(A41&lt;Inputs!$C$5, NA(), Inputs!$C$5 + $H$3*(A41 - Inputs!$C$5))</f>
        <v>0.59290322580645194</v>
      </c>
    </row>
    <row r="42" spans="1:6" x14ac:dyDescent="0.3">
      <c r="A42" s="4">
        <f t="shared" si="1"/>
        <v>0.40000000000000019</v>
      </c>
      <c r="B42" s="4">
        <f>(Inputs!$C$2*A42)/(1+(Inputs!$C$2-1)*A42)</f>
        <v>0.62500000000000011</v>
      </c>
      <c r="C42" s="4">
        <f t="shared" si="0"/>
        <v>0.40000000000000019</v>
      </c>
      <c r="D42" s="4">
        <f>(Inputs!$C$6/(Inputs!$C$6+1))*A42 + (Inputs!$C$4/(Inputs!$C$6+1))</f>
        <v>0.57166666666666677</v>
      </c>
      <c r="E42" s="4">
        <f>Inputs!$C$3</f>
        <v>0.36</v>
      </c>
      <c r="F42" s="4">
        <f>IF(A42&lt;Inputs!$C$5, NA(), Inputs!$C$5 + $H$3*(A42 - Inputs!$C$5))</f>
        <v>0.60887096774193583</v>
      </c>
    </row>
    <row r="43" spans="1:6" x14ac:dyDescent="0.3">
      <c r="A43" s="4">
        <f t="shared" si="1"/>
        <v>0.4100000000000002</v>
      </c>
      <c r="B43" s="4">
        <f>(Inputs!$C$2*A43)/(1+(Inputs!$C$2-1)*A43)</f>
        <v>0.63467492260061942</v>
      </c>
      <c r="C43" s="4">
        <f t="shared" si="0"/>
        <v>0.4100000000000002</v>
      </c>
      <c r="D43" s="4">
        <f>(Inputs!$C$6/(Inputs!$C$6+1))*A43 + (Inputs!$C$4/(Inputs!$C$6+1))</f>
        <v>0.57833333333333337</v>
      </c>
      <c r="E43" s="4">
        <f>Inputs!$C$3</f>
        <v>0.36</v>
      </c>
      <c r="F43" s="4">
        <f>IF(A43&lt;Inputs!$C$5, NA(), Inputs!$C$5 + $H$3*(A43 - Inputs!$C$5))</f>
        <v>0.62483870967741972</v>
      </c>
    </row>
    <row r="44" spans="1:6" x14ac:dyDescent="0.3">
      <c r="A44" s="4">
        <f t="shared" si="1"/>
        <v>0.42000000000000021</v>
      </c>
      <c r="B44" s="4">
        <f>(Inputs!$C$2*A44)/(1+(Inputs!$C$2-1)*A44)</f>
        <v>0.64417177914110446</v>
      </c>
      <c r="C44" s="4">
        <f t="shared" si="0"/>
        <v>0.42000000000000021</v>
      </c>
      <c r="D44" s="4">
        <f>(Inputs!$C$6/(Inputs!$C$6+1))*A44 + (Inputs!$C$4/(Inputs!$C$6+1))</f>
        <v>0.58500000000000019</v>
      </c>
      <c r="E44" s="4">
        <f>Inputs!$C$3</f>
        <v>0.36</v>
      </c>
      <c r="F44" s="4">
        <f>IF(A44&lt;Inputs!$C$5, NA(), Inputs!$C$5 + $H$3*(A44 - Inputs!$C$5))</f>
        <v>0.64080645161290362</v>
      </c>
    </row>
    <row r="45" spans="1:6" x14ac:dyDescent="0.3">
      <c r="A45" s="4">
        <f t="shared" si="1"/>
        <v>0.43000000000000022</v>
      </c>
      <c r="B45" s="4">
        <f>(Inputs!$C$2*A45)/(1+(Inputs!$C$2-1)*A45)</f>
        <v>0.65349544072948351</v>
      </c>
      <c r="C45" s="4">
        <f t="shared" si="0"/>
        <v>0.43000000000000022</v>
      </c>
      <c r="D45" s="4">
        <f>(Inputs!$C$6/(Inputs!$C$6+1))*A45 + (Inputs!$C$4/(Inputs!$C$6+1))</f>
        <v>0.59166666666666679</v>
      </c>
      <c r="E45" s="4">
        <f>Inputs!$C$3</f>
        <v>0.36</v>
      </c>
      <c r="F45" s="4">
        <f>IF(A45&lt;Inputs!$C$5, NA(), Inputs!$C$5 + $H$3*(A45 - Inputs!$C$5))</f>
        <v>0.65677419354838751</v>
      </c>
    </row>
    <row r="46" spans="1:6" x14ac:dyDescent="0.3">
      <c r="A46" s="4">
        <f t="shared" si="1"/>
        <v>0.44000000000000022</v>
      </c>
      <c r="B46" s="4">
        <f>(Inputs!$C$2*A46)/(1+(Inputs!$C$2-1)*A46)</f>
        <v>0.66265060240963869</v>
      </c>
      <c r="C46" s="4">
        <f t="shared" si="0"/>
        <v>0.44000000000000022</v>
      </c>
      <c r="D46" s="4">
        <f>(Inputs!$C$6/(Inputs!$C$6+1))*A46 + (Inputs!$C$4/(Inputs!$C$6+1))</f>
        <v>0.59833333333333338</v>
      </c>
      <c r="E46" s="4">
        <f>Inputs!$C$3</f>
        <v>0.36</v>
      </c>
      <c r="F46" s="4">
        <f>IF(A46&lt;Inputs!$C$5, NA(), Inputs!$C$5 + $H$3*(A46 - Inputs!$C$5))</f>
        <v>0.6727419354838714</v>
      </c>
    </row>
    <row r="47" spans="1:6" x14ac:dyDescent="0.3">
      <c r="A47" s="4">
        <f t="shared" si="1"/>
        <v>0.45000000000000023</v>
      </c>
      <c r="B47" s="4">
        <f>(Inputs!$C$2*A47)/(1+(Inputs!$C$2-1)*A47)</f>
        <v>0.67164179104477639</v>
      </c>
      <c r="C47" s="4">
        <f t="shared" si="0"/>
        <v>0.45000000000000023</v>
      </c>
      <c r="D47" s="4">
        <f>(Inputs!$C$6/(Inputs!$C$6+1))*A47 + (Inputs!$C$4/(Inputs!$C$6+1))</f>
        <v>0.6050000000000002</v>
      </c>
      <c r="E47" s="4">
        <f>Inputs!$C$3</f>
        <v>0.36</v>
      </c>
      <c r="F47" s="4">
        <f>IF(A47&lt;Inputs!$C$5, NA(), Inputs!$C$5 + $H$3*(A47 - Inputs!$C$5))</f>
        <v>0.68870967741935529</v>
      </c>
    </row>
    <row r="48" spans="1:6" x14ac:dyDescent="0.3">
      <c r="A48" s="4">
        <f t="shared" si="1"/>
        <v>0.46000000000000024</v>
      </c>
      <c r="B48" s="4">
        <f>(Inputs!$C$2*A48)/(1+(Inputs!$C$2-1)*A48)</f>
        <v>0.68047337278106523</v>
      </c>
      <c r="C48" s="4">
        <f t="shared" si="0"/>
        <v>0.46000000000000024</v>
      </c>
      <c r="D48" s="4">
        <f>(Inputs!$C$6/(Inputs!$C$6+1))*A48 + (Inputs!$C$4/(Inputs!$C$6+1))</f>
        <v>0.6116666666666668</v>
      </c>
      <c r="E48" s="4">
        <f>Inputs!$C$3</f>
        <v>0.36</v>
      </c>
      <c r="F48" s="4">
        <f>IF(A48&lt;Inputs!$C$5, NA(), Inputs!$C$5 + $H$3*(A48 - Inputs!$C$5))</f>
        <v>0.70467741935483907</v>
      </c>
    </row>
    <row r="49" spans="1:6" x14ac:dyDescent="0.3">
      <c r="A49" s="4">
        <f t="shared" si="1"/>
        <v>0.47000000000000025</v>
      </c>
      <c r="B49" s="4">
        <f>(Inputs!$C$2*A49)/(1+(Inputs!$C$2-1)*A49)</f>
        <v>0.68914956011730222</v>
      </c>
      <c r="C49" s="4">
        <f t="shared" si="0"/>
        <v>0.47000000000000025</v>
      </c>
      <c r="D49" s="4">
        <f>(Inputs!$C$6/(Inputs!$C$6+1))*A49 + (Inputs!$C$4/(Inputs!$C$6+1))</f>
        <v>0.6183333333333334</v>
      </c>
      <c r="E49" s="4">
        <f>Inputs!$C$3</f>
        <v>0.36</v>
      </c>
      <c r="F49" s="4">
        <f>IF(A49&lt;Inputs!$C$5, NA(), Inputs!$C$5 + $H$3*(A49 - Inputs!$C$5))</f>
        <v>0.72064516129032297</v>
      </c>
    </row>
    <row r="50" spans="1:6" x14ac:dyDescent="0.3">
      <c r="A50" s="4">
        <f t="shared" si="1"/>
        <v>0.48000000000000026</v>
      </c>
      <c r="B50" s="4">
        <f>(Inputs!$C$2*A50)/(1+(Inputs!$C$2-1)*A50)</f>
        <v>0.6976744186046514</v>
      </c>
      <c r="C50" s="4">
        <f t="shared" si="0"/>
        <v>0.48000000000000026</v>
      </c>
      <c r="D50" s="4">
        <f>(Inputs!$C$6/(Inputs!$C$6+1))*A50 + (Inputs!$C$4/(Inputs!$C$6+1))</f>
        <v>0.62500000000000022</v>
      </c>
      <c r="E50" s="4">
        <f>Inputs!$C$3</f>
        <v>0.36</v>
      </c>
      <c r="F50" s="4">
        <f>IF(A50&lt;Inputs!$C$5, NA(), Inputs!$C$5 + $H$3*(A50 - Inputs!$C$5))</f>
        <v>0.73661290322580686</v>
      </c>
    </row>
    <row r="51" spans="1:6" x14ac:dyDescent="0.3">
      <c r="A51" s="4">
        <f t="shared" si="1"/>
        <v>0.49000000000000027</v>
      </c>
      <c r="B51" s="4">
        <f>(Inputs!$C$2*A51)/(1+(Inputs!$C$2-1)*A51)</f>
        <v>0.70605187319884755</v>
      </c>
      <c r="C51" s="4">
        <f t="shared" si="0"/>
        <v>0.49000000000000027</v>
      </c>
      <c r="D51" s="4">
        <f>(Inputs!$C$6/(Inputs!$C$6+1))*A51 + (Inputs!$C$4/(Inputs!$C$6+1))</f>
        <v>0.63166666666666682</v>
      </c>
      <c r="E51" s="4">
        <f>Inputs!$C$3</f>
        <v>0.36</v>
      </c>
      <c r="F51" s="4">
        <f>IF(A51&lt;Inputs!$C$5, NA(), Inputs!$C$5 + $H$3*(A51 - Inputs!$C$5))</f>
        <v>0.75258064516129075</v>
      </c>
    </row>
    <row r="52" spans="1:6" x14ac:dyDescent="0.3">
      <c r="A52" s="4">
        <f t="shared" si="1"/>
        <v>0.50000000000000022</v>
      </c>
      <c r="B52" s="4">
        <f>(Inputs!$C$2*A52)/(1+(Inputs!$C$2-1)*A52)</f>
        <v>0.71428571428571441</v>
      </c>
      <c r="C52" s="4">
        <f t="shared" si="0"/>
        <v>0.50000000000000022</v>
      </c>
      <c r="D52" s="4">
        <f>(Inputs!$C$6/(Inputs!$C$6+1))*A52 + (Inputs!$C$4/(Inputs!$C$6+1))</f>
        <v>0.63833333333333342</v>
      </c>
      <c r="E52" s="4">
        <f>Inputs!$C$3</f>
        <v>0.36</v>
      </c>
      <c r="F52" s="4">
        <f>IF(A52&lt;Inputs!$C$5, NA(), Inputs!$C$5 + $H$3*(A52 - Inputs!$C$5))</f>
        <v>0.76854838709677453</v>
      </c>
    </row>
    <row r="53" spans="1:6" x14ac:dyDescent="0.3">
      <c r="A53" s="4">
        <f t="shared" si="1"/>
        <v>0.51000000000000023</v>
      </c>
      <c r="B53" s="4">
        <f>(Inputs!$C$2*A53)/(1+(Inputs!$C$2-1)*A53)</f>
        <v>0.72237960339943363</v>
      </c>
      <c r="C53" s="4">
        <f t="shared" si="0"/>
        <v>0.51000000000000023</v>
      </c>
      <c r="D53" s="4">
        <f>(Inputs!$C$6/(Inputs!$C$6+1))*A53 + (Inputs!$C$4/(Inputs!$C$6+1))</f>
        <v>0.64500000000000013</v>
      </c>
      <c r="E53" s="4">
        <f>Inputs!$C$3</f>
        <v>0.36</v>
      </c>
      <c r="F53" s="4">
        <f>IF(A53&lt;Inputs!$C$5, NA(), Inputs!$C$5 + $H$3*(A53 - Inputs!$C$5))</f>
        <v>0.78451612903225842</v>
      </c>
    </row>
    <row r="54" spans="1:6" x14ac:dyDescent="0.3">
      <c r="A54" s="4">
        <f t="shared" si="1"/>
        <v>0.52000000000000024</v>
      </c>
      <c r="B54" s="4">
        <f>(Inputs!$C$2*A54)/(1+(Inputs!$C$2-1)*A54)</f>
        <v>0.73033707865168573</v>
      </c>
      <c r="C54" s="4">
        <f t="shared" si="0"/>
        <v>0.52000000000000024</v>
      </c>
      <c r="D54" s="4">
        <f>(Inputs!$C$6/(Inputs!$C$6+1))*A54 + (Inputs!$C$4/(Inputs!$C$6+1))</f>
        <v>0.65166666666666684</v>
      </c>
      <c r="E54" s="4">
        <f>Inputs!$C$3</f>
        <v>0.36</v>
      </c>
      <c r="F54" s="4">
        <f>IF(A54&lt;Inputs!$C$5, NA(), Inputs!$C$5 + $H$3*(A54 - Inputs!$C$5))</f>
        <v>0.80048387096774232</v>
      </c>
    </row>
    <row r="55" spans="1:6" x14ac:dyDescent="0.3">
      <c r="A55" s="4">
        <f t="shared" si="1"/>
        <v>0.53000000000000025</v>
      </c>
      <c r="B55" s="4">
        <f>(Inputs!$C$2*A55)/(1+(Inputs!$C$2-1)*A55)</f>
        <v>0.73816155988857957</v>
      </c>
      <c r="C55" s="4">
        <f t="shared" si="0"/>
        <v>0.53000000000000025</v>
      </c>
      <c r="D55" s="4">
        <f>(Inputs!$C$6/(Inputs!$C$6+1))*A55 + (Inputs!$C$4/(Inputs!$C$6+1))</f>
        <v>0.65833333333333344</v>
      </c>
      <c r="E55" s="4">
        <f>Inputs!$C$3</f>
        <v>0.36</v>
      </c>
      <c r="F55" s="4">
        <f>IF(A55&lt;Inputs!$C$5, NA(), Inputs!$C$5 + $H$3*(A55 - Inputs!$C$5))</f>
        <v>0.81645161290322621</v>
      </c>
    </row>
    <row r="56" spans="1:6" x14ac:dyDescent="0.3">
      <c r="A56" s="4">
        <f t="shared" si="1"/>
        <v>0.54000000000000026</v>
      </c>
      <c r="B56" s="4">
        <f>(Inputs!$C$2*A56)/(1+(Inputs!$C$2-1)*A56)</f>
        <v>0.74585635359116031</v>
      </c>
      <c r="C56" s="4">
        <f t="shared" si="0"/>
        <v>0.54000000000000026</v>
      </c>
      <c r="D56" s="4">
        <f>(Inputs!$C$6/(Inputs!$C$6+1))*A56 + (Inputs!$C$4/(Inputs!$C$6+1))</f>
        <v>0.66500000000000015</v>
      </c>
      <c r="E56" s="4">
        <f>Inputs!$C$3</f>
        <v>0.36</v>
      </c>
      <c r="F56" s="4">
        <f>IF(A56&lt;Inputs!$C$5, NA(), Inputs!$C$5 + $H$3*(A56 - Inputs!$C$5))</f>
        <v>0.8324193548387101</v>
      </c>
    </row>
    <row r="57" spans="1:6" x14ac:dyDescent="0.3">
      <c r="A57" s="4">
        <f t="shared" si="1"/>
        <v>0.55000000000000027</v>
      </c>
      <c r="B57" s="4">
        <f>(Inputs!$C$2*A57)/(1+(Inputs!$C$2-1)*A57)</f>
        <v>0.75342465753424681</v>
      </c>
      <c r="C57" s="4">
        <f t="shared" si="0"/>
        <v>0.55000000000000027</v>
      </c>
      <c r="D57" s="4">
        <f>(Inputs!$C$6/(Inputs!$C$6+1))*A57 + (Inputs!$C$4/(Inputs!$C$6+1))</f>
        <v>0.67166666666666686</v>
      </c>
      <c r="E57" s="4">
        <f>Inputs!$C$3</f>
        <v>0.36</v>
      </c>
      <c r="F57" s="4">
        <f>IF(A57&lt;Inputs!$C$5, NA(), Inputs!$C$5 + $H$3*(A57 - Inputs!$C$5))</f>
        <v>0.84838709677419388</v>
      </c>
    </row>
    <row r="58" spans="1:6" x14ac:dyDescent="0.3">
      <c r="A58" s="4">
        <f t="shared" si="1"/>
        <v>0.56000000000000028</v>
      </c>
      <c r="B58" s="4">
        <f>(Inputs!$C$2*A58)/(1+(Inputs!$C$2-1)*A58)</f>
        <v>0.76086956521739157</v>
      </c>
      <c r="C58" s="4">
        <f t="shared" si="0"/>
        <v>0.56000000000000028</v>
      </c>
      <c r="D58" s="4">
        <f>(Inputs!$C$6/(Inputs!$C$6+1))*A58 + (Inputs!$C$4/(Inputs!$C$6+1))</f>
        <v>0.67833333333333345</v>
      </c>
      <c r="E58" s="4">
        <f>Inputs!$C$3</f>
        <v>0.36</v>
      </c>
      <c r="F58" s="4">
        <f>IF(A58&lt;Inputs!$C$5, NA(), Inputs!$C$5 + $H$3*(A58 - Inputs!$C$5))</f>
        <v>0.86435483870967778</v>
      </c>
    </row>
    <row r="59" spans="1:6" x14ac:dyDescent="0.3">
      <c r="A59" s="4">
        <f t="shared" si="1"/>
        <v>0.57000000000000028</v>
      </c>
      <c r="B59" s="4">
        <f>(Inputs!$C$2*A59)/(1+(Inputs!$C$2-1)*A59)</f>
        <v>0.76819407008086271</v>
      </c>
      <c r="C59" s="4">
        <f t="shared" si="0"/>
        <v>0.57000000000000028</v>
      </c>
      <c r="D59" s="4">
        <f>(Inputs!$C$6/(Inputs!$C$6+1))*A59 + (Inputs!$C$4/(Inputs!$C$6+1))</f>
        <v>0.68500000000000016</v>
      </c>
      <c r="E59" s="4">
        <f>Inputs!$C$3</f>
        <v>0.36</v>
      </c>
      <c r="F59" s="4">
        <f>IF(A59&lt;Inputs!$C$5, NA(), Inputs!$C$5 + $H$3*(A59 - Inputs!$C$5))</f>
        <v>0.88032258064516167</v>
      </c>
    </row>
    <row r="60" spans="1:6" x14ac:dyDescent="0.3">
      <c r="A60" s="4">
        <f t="shared" si="1"/>
        <v>0.58000000000000029</v>
      </c>
      <c r="B60" s="4">
        <f>(Inputs!$C$2*A60)/(1+(Inputs!$C$2-1)*A60)</f>
        <v>0.77540106951871668</v>
      </c>
      <c r="C60" s="4">
        <f t="shared" si="0"/>
        <v>0.58000000000000029</v>
      </c>
      <c r="D60" s="4">
        <f>(Inputs!$C$6/(Inputs!$C$6+1))*A60 + (Inputs!$C$4/(Inputs!$C$6+1))</f>
        <v>0.69166666666666687</v>
      </c>
      <c r="E60" s="4">
        <f>Inputs!$C$3</f>
        <v>0.36</v>
      </c>
      <c r="F60" s="4">
        <f>IF(A60&lt;Inputs!$C$5, NA(), Inputs!$C$5 + $H$3*(A60 - Inputs!$C$5))</f>
        <v>0.89629032258064556</v>
      </c>
    </row>
    <row r="61" spans="1:6" x14ac:dyDescent="0.3">
      <c r="A61" s="4">
        <f t="shared" si="1"/>
        <v>0.5900000000000003</v>
      </c>
      <c r="B61" s="4">
        <f>(Inputs!$C$2*A61)/(1+(Inputs!$C$2-1)*A61)</f>
        <v>0.78249336870026542</v>
      </c>
      <c r="C61" s="4">
        <f t="shared" si="0"/>
        <v>0.5900000000000003</v>
      </c>
      <c r="D61" s="4">
        <f>(Inputs!$C$6/(Inputs!$C$6+1))*A61 + (Inputs!$C$4/(Inputs!$C$6+1))</f>
        <v>0.69833333333333347</v>
      </c>
      <c r="E61" s="4">
        <f>Inputs!$C$3</f>
        <v>0.36</v>
      </c>
      <c r="F61" s="4">
        <f>IF(A61&lt;Inputs!$C$5, NA(), Inputs!$C$5 + $H$3*(A61 - Inputs!$C$5))</f>
        <v>0.91225806451612945</v>
      </c>
    </row>
    <row r="62" spans="1:6" x14ac:dyDescent="0.3">
      <c r="A62" s="4">
        <f t="shared" si="1"/>
        <v>0.60000000000000031</v>
      </c>
      <c r="B62" s="4">
        <f>(Inputs!$C$2*A62)/(1+(Inputs!$C$2-1)*A62)</f>
        <v>0.78947368421052666</v>
      </c>
      <c r="C62" s="4">
        <f t="shared" si="0"/>
        <v>0.60000000000000031</v>
      </c>
      <c r="D62" s="4">
        <f>(Inputs!$C$6/(Inputs!$C$6+1))*A62 + (Inputs!$C$4/(Inputs!$C$6+1))</f>
        <v>0.70500000000000018</v>
      </c>
      <c r="E62" s="4">
        <f>Inputs!$C$3</f>
        <v>0.36</v>
      </c>
      <c r="F62" s="4">
        <f>IF(A62&lt;Inputs!$C$5, NA(), Inputs!$C$5 + $H$3*(A62 - Inputs!$C$5))</f>
        <v>0.92822580645161334</v>
      </c>
    </row>
    <row r="63" spans="1:6" x14ac:dyDescent="0.3">
      <c r="A63" s="4">
        <f t="shared" si="1"/>
        <v>0.61000000000000032</v>
      </c>
      <c r="B63" s="4">
        <f>(Inputs!$C$2*A63)/(1+(Inputs!$C$2-1)*A63)</f>
        <v>0.79634464751958245</v>
      </c>
      <c r="C63" s="4">
        <f t="shared" si="0"/>
        <v>0.61000000000000032</v>
      </c>
      <c r="D63" s="4">
        <f>(Inputs!$C$6/(Inputs!$C$6+1))*A63 + (Inputs!$C$4/(Inputs!$C$6+1))</f>
        <v>0.71166666666666689</v>
      </c>
      <c r="E63" s="4">
        <f>Inputs!$C$3</f>
        <v>0.36</v>
      </c>
      <c r="F63" s="4">
        <f>IF(A63&lt;Inputs!$C$5, NA(), Inputs!$C$5 + $H$3*(A63 - Inputs!$C$5))</f>
        <v>0.94419354838709724</v>
      </c>
    </row>
    <row r="64" spans="1:6" x14ac:dyDescent="0.3">
      <c r="A64" s="4">
        <f t="shared" si="1"/>
        <v>0.62000000000000033</v>
      </c>
      <c r="B64" s="4">
        <f>(Inputs!$C$2*A64)/(1+(Inputs!$C$2-1)*A64)</f>
        <v>0.80310880829015552</v>
      </c>
      <c r="C64" s="4">
        <f t="shared" si="0"/>
        <v>0.62000000000000033</v>
      </c>
      <c r="D64" s="4">
        <f>(Inputs!$C$6/(Inputs!$C$6+1))*A64 + (Inputs!$C$4/(Inputs!$C$6+1))</f>
        <v>0.71833333333333349</v>
      </c>
      <c r="E64" s="4">
        <f>Inputs!$C$3</f>
        <v>0.36</v>
      </c>
      <c r="F64" s="4">
        <f>IF(A64&lt;Inputs!$C$5, NA(), Inputs!$C$5 + $H$3*(A64 - Inputs!$C$5))</f>
        <v>0.96016129032258113</v>
      </c>
    </row>
    <row r="65" spans="1:6" x14ac:dyDescent="0.3">
      <c r="A65" s="4">
        <f t="shared" si="1"/>
        <v>0.63000000000000034</v>
      </c>
      <c r="B65" s="4">
        <f>(Inputs!$C$2*A65)/(1+(Inputs!$C$2-1)*A65)</f>
        <v>0.80976863753213391</v>
      </c>
      <c r="C65" s="4">
        <f t="shared" si="0"/>
        <v>0.63000000000000034</v>
      </c>
      <c r="D65" s="4">
        <f>(Inputs!$C$6/(Inputs!$C$6+1))*A65 + (Inputs!$C$4/(Inputs!$C$6+1))</f>
        <v>0.7250000000000002</v>
      </c>
      <c r="E65" s="4">
        <f>Inputs!$C$3</f>
        <v>0.36</v>
      </c>
      <c r="F65" s="4">
        <f>IF(A65&lt;Inputs!$C$5, NA(), Inputs!$C$5 + $H$3*(A65 - Inputs!$C$5))</f>
        <v>0.97612903225806502</v>
      </c>
    </row>
    <row r="66" spans="1:6" x14ac:dyDescent="0.3">
      <c r="A66" s="4">
        <f t="shared" si="1"/>
        <v>0.64000000000000035</v>
      </c>
      <c r="B66" s="4">
        <f>(Inputs!$C$2*A66)/(1+(Inputs!$C$2-1)*A66)</f>
        <v>0.81632653061224525</v>
      </c>
      <c r="C66" s="4">
        <f t="shared" si="0"/>
        <v>0.64000000000000035</v>
      </c>
      <c r="D66" s="4">
        <f>(Inputs!$C$6/(Inputs!$C$6+1))*A66 + (Inputs!$C$4/(Inputs!$C$6+1))</f>
        <v>0.73166666666666691</v>
      </c>
      <c r="E66" s="4">
        <f>Inputs!$C$3</f>
        <v>0.36</v>
      </c>
      <c r="F66" s="4">
        <f>IF(A66&lt;Inputs!$C$5, NA(), Inputs!$C$5 + $H$3*(A66 - Inputs!$C$5))</f>
        <v>0.99209677419354891</v>
      </c>
    </row>
    <row r="67" spans="1:6" x14ac:dyDescent="0.3">
      <c r="A67" s="4">
        <f t="shared" si="1"/>
        <v>0.65000000000000036</v>
      </c>
      <c r="B67" s="4">
        <f>(Inputs!$C$2*A67)/(1+(Inputs!$C$2-1)*A67)</f>
        <v>0.82278481012658256</v>
      </c>
      <c r="C67" s="4">
        <f t="shared" ref="C67:C102" si="2">A67</f>
        <v>0.65000000000000036</v>
      </c>
      <c r="D67" s="4">
        <f>(Inputs!$C$6/(Inputs!$C$6+1))*A67 + (Inputs!$C$4/(Inputs!$C$6+1))</f>
        <v>0.73833333333333351</v>
      </c>
      <c r="E67" s="4">
        <f>Inputs!$C$3</f>
        <v>0.36</v>
      </c>
      <c r="F67" s="4">
        <f>IF(A67&lt;Inputs!$C$5, NA(), Inputs!$C$5 + $H$3*(A67 - Inputs!$C$5))</f>
        <v>1.0080645161290327</v>
      </c>
    </row>
    <row r="68" spans="1:6" x14ac:dyDescent="0.3">
      <c r="A68" s="4">
        <f t="shared" si="1"/>
        <v>0.66000000000000036</v>
      </c>
      <c r="B68" s="4">
        <f>(Inputs!$C$2*A68)/(1+(Inputs!$C$2-1)*A68)</f>
        <v>0.82914572864321623</v>
      </c>
      <c r="C68" s="4">
        <f t="shared" si="2"/>
        <v>0.66000000000000036</v>
      </c>
      <c r="D68" s="4">
        <f>(Inputs!$C$6/(Inputs!$C$6+1))*A68 + (Inputs!$C$4/(Inputs!$C$6+1))</f>
        <v>0.74500000000000022</v>
      </c>
      <c r="E68" s="4">
        <f>Inputs!$C$3</f>
        <v>0.36</v>
      </c>
      <c r="F68" s="4">
        <f>IF(A68&lt;Inputs!$C$5, NA(), Inputs!$C$5 + $H$3*(A68 - Inputs!$C$5))</f>
        <v>1.0240322580645165</v>
      </c>
    </row>
    <row r="69" spans="1:6" x14ac:dyDescent="0.3">
      <c r="A69" s="4">
        <f t="shared" ref="A69:A87" si="3">(A68+0.01)</f>
        <v>0.67000000000000037</v>
      </c>
      <c r="B69" s="4">
        <f>(Inputs!$C$2*A69)/(1+(Inputs!$C$2-1)*A69)</f>
        <v>0.83541147132169591</v>
      </c>
      <c r="C69" s="4">
        <f t="shared" si="2"/>
        <v>0.67000000000000037</v>
      </c>
      <c r="D69" s="4">
        <f>(Inputs!$C$6/(Inputs!$C$6+1))*A69 + (Inputs!$C$4/(Inputs!$C$6+1))</f>
        <v>0.75166666666666693</v>
      </c>
      <c r="E69" s="4">
        <f>Inputs!$C$3</f>
        <v>0.36</v>
      </c>
      <c r="F69" s="4">
        <f>IF(A69&lt;Inputs!$C$5, NA(), Inputs!$C$5 + $H$3*(A69 - Inputs!$C$5))</f>
        <v>1.0400000000000005</v>
      </c>
    </row>
    <row r="70" spans="1:6" x14ac:dyDescent="0.3">
      <c r="A70" s="4">
        <f t="shared" si="3"/>
        <v>0.68000000000000038</v>
      </c>
      <c r="B70" s="4">
        <f>(Inputs!$C$2*A70)/(1+(Inputs!$C$2-1)*A70)</f>
        <v>0.84158415841584189</v>
      </c>
      <c r="C70" s="4">
        <f t="shared" si="2"/>
        <v>0.68000000000000038</v>
      </c>
      <c r="D70" s="4">
        <f>(Inputs!$C$6/(Inputs!$C$6+1))*A70 + (Inputs!$C$4/(Inputs!$C$6+1))</f>
        <v>0.75833333333333353</v>
      </c>
      <c r="E70" s="4">
        <f>Inputs!$C$3</f>
        <v>0.36</v>
      </c>
      <c r="F70" s="4">
        <f>IF(A70&lt;Inputs!$C$5, NA(), Inputs!$C$5 + $H$3*(A70 - Inputs!$C$5))</f>
        <v>1.0559677419354845</v>
      </c>
    </row>
    <row r="71" spans="1:6" x14ac:dyDescent="0.3">
      <c r="A71" s="4">
        <f t="shared" si="3"/>
        <v>0.69000000000000039</v>
      </c>
      <c r="B71" s="4">
        <f>(Inputs!$C$2*A71)/(1+(Inputs!$C$2-1)*A71)</f>
        <v>0.84766584766584785</v>
      </c>
      <c r="C71" s="4">
        <f t="shared" si="2"/>
        <v>0.69000000000000039</v>
      </c>
      <c r="D71" s="4">
        <f>(Inputs!$C$6/(Inputs!$C$6+1))*A71 + (Inputs!$C$4/(Inputs!$C$6+1))</f>
        <v>0.76500000000000024</v>
      </c>
      <c r="E71" s="4">
        <f>Inputs!$C$3</f>
        <v>0.36</v>
      </c>
      <c r="F71" s="4">
        <f>IF(A71&lt;Inputs!$C$5, NA(), Inputs!$C$5 + $H$3*(A71 - Inputs!$C$5))</f>
        <v>1.0719354838709683</v>
      </c>
    </row>
    <row r="72" spans="1:6" x14ac:dyDescent="0.3">
      <c r="A72" s="4">
        <f t="shared" si="3"/>
        <v>0.7000000000000004</v>
      </c>
      <c r="B72" s="4">
        <f>(Inputs!$C$2*A72)/(1+(Inputs!$C$2-1)*A72)</f>
        <v>0.85365853658536595</v>
      </c>
      <c r="C72" s="4">
        <f t="shared" si="2"/>
        <v>0.7000000000000004</v>
      </c>
      <c r="D72" s="4">
        <f>(Inputs!$C$6/(Inputs!$C$6+1))*A72 + (Inputs!$C$4/(Inputs!$C$6+1))</f>
        <v>0.77166666666666694</v>
      </c>
      <c r="E72" s="4">
        <f>Inputs!$C$3</f>
        <v>0.36</v>
      </c>
      <c r="F72" s="4">
        <f>IF(A72&lt;Inputs!$C$5, NA(), Inputs!$C$5 + $H$3*(A72 - Inputs!$C$5))</f>
        <v>1.0879032258064523</v>
      </c>
    </row>
    <row r="73" spans="1:6" x14ac:dyDescent="0.3">
      <c r="A73" s="4">
        <f t="shared" si="3"/>
        <v>0.71000000000000041</v>
      </c>
      <c r="B73" s="4">
        <f>(Inputs!$C$2*A73)/(1+(Inputs!$C$2-1)*A73)</f>
        <v>0.85956416464891072</v>
      </c>
      <c r="C73" s="4">
        <f t="shared" si="2"/>
        <v>0.71000000000000041</v>
      </c>
      <c r="D73" s="4">
        <f>(Inputs!$C$6/(Inputs!$C$6+1))*A73 + (Inputs!$C$4/(Inputs!$C$6+1))</f>
        <v>0.77833333333333354</v>
      </c>
      <c r="E73" s="4">
        <f>Inputs!$C$3</f>
        <v>0.36</v>
      </c>
      <c r="F73" s="4">
        <f>IF(A73&lt;Inputs!$C$5, NA(), Inputs!$C$5 + $H$3*(A73 - Inputs!$C$5))</f>
        <v>1.103870967741936</v>
      </c>
    </row>
    <row r="74" spans="1:6" x14ac:dyDescent="0.3">
      <c r="A74" s="4">
        <f t="shared" si="3"/>
        <v>0.72000000000000042</v>
      </c>
      <c r="B74" s="4">
        <f>(Inputs!$C$2*A74)/(1+(Inputs!$C$2-1)*A74)</f>
        <v>0.86538461538461575</v>
      </c>
      <c r="C74" s="4">
        <f t="shared" si="2"/>
        <v>0.72000000000000042</v>
      </c>
      <c r="D74" s="4">
        <f>(Inputs!$C$6/(Inputs!$C$6+1))*A74 + (Inputs!$C$4/(Inputs!$C$6+1))</f>
        <v>0.78500000000000025</v>
      </c>
      <c r="E74" s="4">
        <f>Inputs!$C$3</f>
        <v>0.36</v>
      </c>
      <c r="F74" s="4">
        <f>IF(A74&lt;Inputs!$C$5, NA(), Inputs!$C$5 + $H$3*(A74 - Inputs!$C$5))</f>
        <v>1.1198387096774198</v>
      </c>
    </row>
    <row r="75" spans="1:6" x14ac:dyDescent="0.3">
      <c r="A75" s="4">
        <f t="shared" si="3"/>
        <v>0.73000000000000043</v>
      </c>
      <c r="B75" s="4">
        <f>(Inputs!$C$2*A75)/(1+(Inputs!$C$2-1)*A75)</f>
        <v>0.87112171837708852</v>
      </c>
      <c r="C75" s="4">
        <f t="shared" si="2"/>
        <v>0.73000000000000043</v>
      </c>
      <c r="D75" s="4">
        <f>(Inputs!$C$6/(Inputs!$C$6+1))*A75 + (Inputs!$C$4/(Inputs!$C$6+1))</f>
        <v>0.79166666666666696</v>
      </c>
      <c r="E75" s="4">
        <f>Inputs!$C$3</f>
        <v>0.36</v>
      </c>
      <c r="F75" s="4">
        <f>IF(A75&lt;Inputs!$C$5, NA(), Inputs!$C$5 + $H$3*(A75 - Inputs!$C$5))</f>
        <v>1.1358064516129038</v>
      </c>
    </row>
    <row r="76" spans="1:6" x14ac:dyDescent="0.3">
      <c r="A76" s="4">
        <f t="shared" si="3"/>
        <v>0.74000000000000044</v>
      </c>
      <c r="B76" s="4">
        <f>(Inputs!$C$2*A76)/(1+(Inputs!$C$2-1)*A76)</f>
        <v>0.87677725118483429</v>
      </c>
      <c r="C76" s="4">
        <f t="shared" si="2"/>
        <v>0.74000000000000044</v>
      </c>
      <c r="D76" s="4">
        <f>(Inputs!$C$6/(Inputs!$C$6+1))*A76 + (Inputs!$C$4/(Inputs!$C$6+1))</f>
        <v>0.79833333333333356</v>
      </c>
      <c r="E76" s="4">
        <f>Inputs!$C$3</f>
        <v>0.36</v>
      </c>
      <c r="F76" s="4">
        <f>IF(A76&lt;Inputs!$C$5, NA(), Inputs!$C$5 + $H$3*(A76 - Inputs!$C$5))</f>
        <v>1.1517741935483876</v>
      </c>
    </row>
    <row r="77" spans="1:6" x14ac:dyDescent="0.3">
      <c r="A77" s="4">
        <f t="shared" si="3"/>
        <v>0.75000000000000044</v>
      </c>
      <c r="B77" s="4">
        <f>(Inputs!$C$2*A77)/(1+(Inputs!$C$2-1)*A77)</f>
        <v>0.88235294117647078</v>
      </c>
      <c r="C77" s="4">
        <f t="shared" si="2"/>
        <v>0.75000000000000044</v>
      </c>
      <c r="D77" s="4">
        <f>(Inputs!$C$6/(Inputs!$C$6+1))*A77 + (Inputs!$C$4/(Inputs!$C$6+1))</f>
        <v>0.80500000000000016</v>
      </c>
      <c r="E77" s="4">
        <f>Inputs!$C$3</f>
        <v>0.36</v>
      </c>
      <c r="F77" s="4">
        <f>IF(A77&lt;Inputs!$C$5, NA(), Inputs!$C$5 + $H$3*(A77 - Inputs!$C$5))</f>
        <v>1.1677419354838716</v>
      </c>
    </row>
    <row r="78" spans="1:6" x14ac:dyDescent="0.3">
      <c r="A78" s="4">
        <f t="shared" si="3"/>
        <v>0.76000000000000045</v>
      </c>
      <c r="B78" s="4">
        <f>(Inputs!$C$2*A78)/(1+(Inputs!$C$2-1)*A78)</f>
        <v>0.88785046728971995</v>
      </c>
      <c r="C78" s="4">
        <f t="shared" si="2"/>
        <v>0.76000000000000045</v>
      </c>
      <c r="D78" s="4">
        <f>(Inputs!$C$6/(Inputs!$C$6+1))*A78 + (Inputs!$C$4/(Inputs!$C$6+1))</f>
        <v>0.81166666666666698</v>
      </c>
      <c r="E78" s="4">
        <f>Inputs!$C$3</f>
        <v>0.36</v>
      </c>
      <c r="F78" s="4">
        <f>IF(A78&lt;Inputs!$C$5, NA(), Inputs!$C$5 + $H$3*(A78 - Inputs!$C$5))</f>
        <v>1.1837096774193554</v>
      </c>
    </row>
    <row r="79" spans="1:6" x14ac:dyDescent="0.3">
      <c r="A79" s="4">
        <f t="shared" si="3"/>
        <v>0.77000000000000046</v>
      </c>
      <c r="B79" s="4">
        <f>(Inputs!$C$2*A79)/(1+(Inputs!$C$2-1)*A79)</f>
        <v>0.89327146171693761</v>
      </c>
      <c r="C79" s="4">
        <f t="shared" si="2"/>
        <v>0.77000000000000046</v>
      </c>
      <c r="D79" s="4">
        <f>(Inputs!$C$6/(Inputs!$C$6+1))*A79 + (Inputs!$C$4/(Inputs!$C$6+1))</f>
        <v>0.81833333333333358</v>
      </c>
      <c r="E79" s="4">
        <f>Inputs!$C$3</f>
        <v>0.36</v>
      </c>
      <c r="F79" s="4">
        <f>IF(A79&lt;Inputs!$C$5, NA(), Inputs!$C$5 + $H$3*(A79 - Inputs!$C$5))</f>
        <v>1.1996774193548394</v>
      </c>
    </row>
    <row r="80" spans="1:6" x14ac:dyDescent="0.3">
      <c r="A80" s="4">
        <f t="shared" si="3"/>
        <v>0.78000000000000047</v>
      </c>
      <c r="B80" s="4">
        <f>(Inputs!$C$2*A80)/(1+(Inputs!$C$2-1)*A80)</f>
        <v>0.89861751152073743</v>
      </c>
      <c r="C80" s="4">
        <f t="shared" si="2"/>
        <v>0.78000000000000047</v>
      </c>
      <c r="D80" s="4">
        <f>(Inputs!$C$6/(Inputs!$C$6+1))*A80 + (Inputs!$C$4/(Inputs!$C$6+1))</f>
        <v>0.82500000000000018</v>
      </c>
      <c r="E80" s="4">
        <f>Inputs!$C$3</f>
        <v>0.36</v>
      </c>
      <c r="F80" s="4">
        <f>IF(A80&lt;Inputs!$C$5, NA(), Inputs!$C$5 + $H$3*(A80 - Inputs!$C$5))</f>
        <v>1.2156451612903232</v>
      </c>
    </row>
    <row r="81" spans="1:6" x14ac:dyDescent="0.3">
      <c r="A81" s="4">
        <f t="shared" si="3"/>
        <v>0.79000000000000048</v>
      </c>
      <c r="B81" s="4">
        <f>(Inputs!$C$2*A81)/(1+(Inputs!$C$2-1)*A81)</f>
        <v>0.90389016018306667</v>
      </c>
      <c r="C81" s="4">
        <f t="shared" si="2"/>
        <v>0.79000000000000048</v>
      </c>
      <c r="D81" s="4">
        <f>(Inputs!$C$6/(Inputs!$C$6+1))*A81 + (Inputs!$C$4/(Inputs!$C$6+1))</f>
        <v>0.831666666666667</v>
      </c>
      <c r="E81" s="4">
        <f>Inputs!$C$3</f>
        <v>0.36</v>
      </c>
      <c r="F81" s="4">
        <f>IF(A81&lt;Inputs!$C$5, NA(), Inputs!$C$5 + $H$3*(A81 - Inputs!$C$5))</f>
        <v>1.2316129032258072</v>
      </c>
    </row>
    <row r="82" spans="1:6" x14ac:dyDescent="0.3">
      <c r="A82" s="4">
        <f t="shared" si="3"/>
        <v>0.80000000000000049</v>
      </c>
      <c r="B82" s="4">
        <f>(Inputs!$C$2*A82)/(1+(Inputs!$C$2-1)*A82)</f>
        <v>0.90909090909090939</v>
      </c>
      <c r="C82" s="4">
        <f t="shared" si="2"/>
        <v>0.80000000000000049</v>
      </c>
      <c r="D82" s="4">
        <f>(Inputs!$C$6/(Inputs!$C$6+1))*A82 + (Inputs!$C$4/(Inputs!$C$6+1))</f>
        <v>0.8383333333333336</v>
      </c>
      <c r="E82" s="4">
        <f>Inputs!$C$3</f>
        <v>0.36</v>
      </c>
      <c r="F82" s="4">
        <f>IF(A82&lt;Inputs!$C$5, NA(), Inputs!$C$5 + $H$3*(A82 - Inputs!$C$5))</f>
        <v>1.247580645161291</v>
      </c>
    </row>
    <row r="83" spans="1:6" x14ac:dyDescent="0.3">
      <c r="A83" s="4">
        <f t="shared" si="3"/>
        <v>0.8100000000000005</v>
      </c>
      <c r="B83" s="4">
        <f>(Inputs!$C$2*A83)/(1+(Inputs!$C$2-1)*A83)</f>
        <v>0.91422121896162556</v>
      </c>
      <c r="C83" s="4">
        <f t="shared" si="2"/>
        <v>0.8100000000000005</v>
      </c>
      <c r="D83" s="4">
        <f>(Inputs!$C$6/(Inputs!$C$6+1))*A83 + (Inputs!$C$4/(Inputs!$C$6+1))</f>
        <v>0.8450000000000002</v>
      </c>
      <c r="E83" s="4">
        <f>Inputs!$C$3</f>
        <v>0.36</v>
      </c>
      <c r="F83" s="4">
        <f>IF(A83&lt;Inputs!$C$5, NA(), Inputs!$C$5 + $H$3*(A83 - Inputs!$C$5))</f>
        <v>1.263548387096775</v>
      </c>
    </row>
    <row r="84" spans="1:6" x14ac:dyDescent="0.3">
      <c r="A84" s="4">
        <f t="shared" si="3"/>
        <v>0.82000000000000051</v>
      </c>
      <c r="B84" s="4">
        <f>(Inputs!$C$2*A84)/(1+(Inputs!$C$2-1)*A84)</f>
        <v>0.91928251121076254</v>
      </c>
      <c r="C84" s="4">
        <f t="shared" si="2"/>
        <v>0.82000000000000051</v>
      </c>
      <c r="D84" s="4">
        <f>(Inputs!$C$6/(Inputs!$C$6+1))*A84 + (Inputs!$C$4/(Inputs!$C$6+1))</f>
        <v>0.85166666666666702</v>
      </c>
      <c r="E84" s="4">
        <f>Inputs!$C$3</f>
        <v>0.36</v>
      </c>
      <c r="F84" s="4">
        <f>IF(A84&lt;Inputs!$C$5, NA(), Inputs!$C$5 + $H$3*(A84 - Inputs!$C$5))</f>
        <v>1.2795161290322588</v>
      </c>
    </row>
    <row r="85" spans="1:6" x14ac:dyDescent="0.3">
      <c r="A85" s="4">
        <f t="shared" si="3"/>
        <v>0.83000000000000052</v>
      </c>
      <c r="B85" s="4">
        <f>(Inputs!$C$2*A85)/(1+(Inputs!$C$2-1)*A85)</f>
        <v>0.92427616926503342</v>
      </c>
      <c r="C85" s="4">
        <f t="shared" si="2"/>
        <v>0.83000000000000052</v>
      </c>
      <c r="D85" s="4">
        <f>(Inputs!$C$6/(Inputs!$C$6+1))*A85 + (Inputs!$C$4/(Inputs!$C$6+1))</f>
        <v>0.85833333333333361</v>
      </c>
      <c r="E85" s="4">
        <f>Inputs!$C$3</f>
        <v>0.36</v>
      </c>
      <c r="F85" s="4">
        <f>IF(A85&lt;Inputs!$C$5, NA(), Inputs!$C$5 + $H$3*(A85 - Inputs!$C$5))</f>
        <v>1.2954838709677428</v>
      </c>
    </row>
    <row r="86" spans="1:6" x14ac:dyDescent="0.3">
      <c r="A86" s="4">
        <f t="shared" si="3"/>
        <v>0.84000000000000052</v>
      </c>
      <c r="B86" s="4">
        <f>(Inputs!$C$2*A86)/(1+(Inputs!$C$2-1)*A86)</f>
        <v>0.92920353982300918</v>
      </c>
      <c r="C86" s="4">
        <f t="shared" si="2"/>
        <v>0.84000000000000052</v>
      </c>
      <c r="D86" s="4">
        <f>(Inputs!$C$6/(Inputs!$C$6+1))*A86 + (Inputs!$C$4/(Inputs!$C$6+1))</f>
        <v>0.86500000000000021</v>
      </c>
      <c r="E86" s="4">
        <f>Inputs!$C$3</f>
        <v>0.36</v>
      </c>
      <c r="F86" s="4">
        <f>IF(A86&lt;Inputs!$C$5, NA(), Inputs!$C$5 + $H$3*(A86 - Inputs!$C$5))</f>
        <v>1.3114516129032265</v>
      </c>
    </row>
    <row r="87" spans="1:6" x14ac:dyDescent="0.3">
      <c r="A87" s="4">
        <f t="shared" si="3"/>
        <v>0.85000000000000053</v>
      </c>
      <c r="B87" s="4">
        <f>(Inputs!$C$2*A87)/(1+(Inputs!$C$2-1)*A87)</f>
        <v>0.9340659340659343</v>
      </c>
      <c r="C87" s="4">
        <f t="shared" si="2"/>
        <v>0.85000000000000053</v>
      </c>
      <c r="D87" s="4">
        <f>(Inputs!$C$6/(Inputs!$C$6+1))*A87 + (Inputs!$C$4/(Inputs!$C$6+1))</f>
        <v>0.87166666666666703</v>
      </c>
      <c r="E87" s="4">
        <f>Inputs!$C$3</f>
        <v>0.36</v>
      </c>
      <c r="F87" s="4">
        <f>IF(A87&lt;Inputs!$C$5, NA(), Inputs!$C$5 + $H$3*(A87 - Inputs!$C$5))</f>
        <v>1.3274193548387105</v>
      </c>
    </row>
    <row r="88" spans="1:6" x14ac:dyDescent="0.3">
      <c r="A88" s="4">
        <f>(A87+0.01)</f>
        <v>0.86000000000000054</v>
      </c>
      <c r="B88" s="4">
        <f>(Inputs!$C$2*A88)/(1+(Inputs!$C$2-1)*A88)</f>
        <v>0.93886462882096089</v>
      </c>
      <c r="C88" s="4">
        <f t="shared" si="2"/>
        <v>0.86000000000000054</v>
      </c>
      <c r="D88" s="4">
        <f>(Inputs!$C$6/(Inputs!$C$6+1))*A88 + (Inputs!$C$4/(Inputs!$C$6+1))</f>
        <v>0.87833333333333363</v>
      </c>
      <c r="E88" s="4">
        <f>Inputs!$C$3</f>
        <v>0.36</v>
      </c>
      <c r="F88" s="4">
        <f>IF(A88&lt;Inputs!$C$5, NA(), Inputs!$C$5 + $H$3*(A88 - Inputs!$C$5))</f>
        <v>1.3433870967741943</v>
      </c>
    </row>
    <row r="89" spans="1:6" x14ac:dyDescent="0.3">
      <c r="A89" s="4">
        <f>(A88+0.01)</f>
        <v>0.87000000000000055</v>
      </c>
      <c r="B89" s="4">
        <f>(Inputs!$C$2*A89)/(1+(Inputs!$C$2-1)*A89)</f>
        <v>0.94360086767895923</v>
      </c>
      <c r="C89" s="4">
        <f t="shared" si="2"/>
        <v>0.87000000000000055</v>
      </c>
      <c r="D89" s="4">
        <f>(Inputs!$C$6/(Inputs!$C$6+1))*A89 + (Inputs!$C$4/(Inputs!$C$6+1))</f>
        <v>0.88500000000000023</v>
      </c>
      <c r="E89" s="4">
        <f>Inputs!$C$3</f>
        <v>0.36</v>
      </c>
      <c r="F89" s="4">
        <f>IF(A89&lt;Inputs!$C$5, NA(), Inputs!$C$5 + $H$3*(A89 - Inputs!$C$5))</f>
        <v>1.3593548387096781</v>
      </c>
    </row>
    <row r="90" spans="1:6" x14ac:dyDescent="0.3">
      <c r="A90" s="4">
        <f t="shared" ref="A90:A130" si="4">(A89+0.01)</f>
        <v>0.88000000000000056</v>
      </c>
      <c r="B90" s="4">
        <f>(Inputs!$C$2*A90)/(1+(Inputs!$C$2-1)*A90)</f>
        <v>0.94827586206896586</v>
      </c>
      <c r="C90" s="4">
        <f t="shared" si="2"/>
        <v>0.88000000000000056</v>
      </c>
      <c r="D90" s="4">
        <f>(Inputs!$C$6/(Inputs!$C$6+1))*A90 + (Inputs!$C$4/(Inputs!$C$6+1))</f>
        <v>0.89166666666666705</v>
      </c>
      <c r="E90" s="4">
        <f>Inputs!$C$3</f>
        <v>0.36</v>
      </c>
      <c r="F90" s="4">
        <f>IF(A90&lt;Inputs!$C$5, NA(), Inputs!$C$5 + $H$3*(A90 - Inputs!$C$5))</f>
        <v>1.3753225806451621</v>
      </c>
    </row>
    <row r="91" spans="1:6" x14ac:dyDescent="0.3">
      <c r="A91" s="4">
        <f t="shared" si="4"/>
        <v>0.89000000000000057</v>
      </c>
      <c r="B91" s="4">
        <f>(Inputs!$C$2*A91)/(1+(Inputs!$C$2-1)*A91)</f>
        <v>0.95289079229122087</v>
      </c>
      <c r="C91" s="4">
        <f t="shared" si="2"/>
        <v>0.89000000000000057</v>
      </c>
      <c r="D91" s="4">
        <f>(Inputs!$C$6/(Inputs!$C$6+1))*A91 + (Inputs!$C$4/(Inputs!$C$6+1))</f>
        <v>0.89833333333333365</v>
      </c>
      <c r="E91" s="4">
        <f>Inputs!$C$3</f>
        <v>0.36</v>
      </c>
      <c r="F91" s="4">
        <f>IF(A91&lt;Inputs!$C$5, NA(), Inputs!$C$5 + $H$3*(A91 - Inputs!$C$5))</f>
        <v>1.3912903225806459</v>
      </c>
    </row>
    <row r="92" spans="1:6" x14ac:dyDescent="0.3">
      <c r="A92" s="4">
        <f t="shared" si="4"/>
        <v>0.90000000000000058</v>
      </c>
      <c r="B92" s="4">
        <f>(Inputs!$C$2*A92)/(1+(Inputs!$C$2-1)*A92)</f>
        <v>0.95744680851063846</v>
      </c>
      <c r="C92" s="4">
        <f t="shared" si="2"/>
        <v>0.90000000000000058</v>
      </c>
      <c r="D92" s="4">
        <f>(Inputs!$C$6/(Inputs!$C$6+1))*A92 + (Inputs!$C$4/(Inputs!$C$6+1))</f>
        <v>0.90500000000000025</v>
      </c>
      <c r="E92" s="4">
        <f>Inputs!$C$3</f>
        <v>0.36</v>
      </c>
      <c r="F92" s="4">
        <f>IF(A92&lt;Inputs!$C$5, NA(), Inputs!$C$5 + $H$3*(A92 - Inputs!$C$5))</f>
        <v>1.4072580645161299</v>
      </c>
    </row>
    <row r="93" spans="1:6" x14ac:dyDescent="0.3">
      <c r="A93" s="4">
        <f t="shared" si="4"/>
        <v>0.91000000000000059</v>
      </c>
      <c r="B93" s="4">
        <f>(Inputs!$C$2*A93)/(1+(Inputs!$C$2-1)*A93)</f>
        <v>0.9619450317124737</v>
      </c>
      <c r="C93" s="4">
        <f t="shared" si="2"/>
        <v>0.91000000000000059</v>
      </c>
      <c r="D93" s="4">
        <f>(Inputs!$C$6/(Inputs!$C$6+1))*A93 + (Inputs!$C$4/(Inputs!$C$6+1))</f>
        <v>0.91166666666666707</v>
      </c>
      <c r="E93" s="4">
        <f>Inputs!$C$3</f>
        <v>0.36</v>
      </c>
      <c r="F93" s="4">
        <f>IF(A93&lt;Inputs!$C$5, NA(), Inputs!$C$5 + $H$3*(A93 - Inputs!$C$5))</f>
        <v>1.4232258064516137</v>
      </c>
    </row>
    <row r="94" spans="1:6" x14ac:dyDescent="0.3">
      <c r="A94" s="4">
        <f t="shared" si="4"/>
        <v>0.9200000000000006</v>
      </c>
      <c r="B94" s="4">
        <f>(Inputs!$C$2*A94)/(1+(Inputs!$C$2-1)*A94)</f>
        <v>0.96638655462184908</v>
      </c>
      <c r="C94" s="4">
        <f t="shared" si="2"/>
        <v>0.9200000000000006</v>
      </c>
      <c r="D94" s="4">
        <f>(Inputs!$C$6/(Inputs!$C$6+1))*A94 + (Inputs!$C$4/(Inputs!$C$6+1))</f>
        <v>0.91833333333333367</v>
      </c>
      <c r="E94" s="4">
        <f>Inputs!$C$3</f>
        <v>0.36</v>
      </c>
      <c r="F94" s="4">
        <f>IF(A94&lt;Inputs!$C$5, NA(), Inputs!$C$5 + $H$3*(A94 - Inputs!$C$5))</f>
        <v>1.4391935483870977</v>
      </c>
    </row>
    <row r="95" spans="1:6" x14ac:dyDescent="0.3">
      <c r="A95" s="4">
        <f t="shared" si="4"/>
        <v>0.9300000000000006</v>
      </c>
      <c r="B95" s="4">
        <f>(Inputs!$C$2*A95)/(1+(Inputs!$C$2-1)*A95)</f>
        <v>0.97077244258872675</v>
      </c>
      <c r="C95" s="4">
        <f t="shared" si="2"/>
        <v>0.9300000000000006</v>
      </c>
      <c r="D95" s="4">
        <f>(Inputs!$C$6/(Inputs!$C$6+1))*A95 + (Inputs!$C$4/(Inputs!$C$6+1))</f>
        <v>0.92500000000000027</v>
      </c>
      <c r="E95" s="4">
        <f>Inputs!$C$3</f>
        <v>0.36</v>
      </c>
      <c r="F95" s="4">
        <f>IF(A95&lt;Inputs!$C$5, NA(), Inputs!$C$5 + $H$3*(A95 - Inputs!$C$5))</f>
        <v>1.4551612903225815</v>
      </c>
    </row>
    <row r="96" spans="1:6" x14ac:dyDescent="0.3">
      <c r="A96" s="4">
        <f t="shared" si="4"/>
        <v>0.94000000000000061</v>
      </c>
      <c r="B96" s="4">
        <f>(Inputs!$C$2*A96)/(1+(Inputs!$C$2-1)*A96)</f>
        <v>0.97510373443983422</v>
      </c>
      <c r="C96" s="4">
        <f t="shared" si="2"/>
        <v>0.94000000000000061</v>
      </c>
      <c r="D96" s="4">
        <f>(Inputs!$C$6/(Inputs!$C$6+1))*A96 + (Inputs!$C$4/(Inputs!$C$6+1))</f>
        <v>0.93166666666666709</v>
      </c>
      <c r="E96" s="4">
        <f>Inputs!$C$3</f>
        <v>0.36</v>
      </c>
      <c r="F96" s="4">
        <f>IF(A96&lt;Inputs!$C$5, NA(), Inputs!$C$5 + $H$3*(A96 - Inputs!$C$5))</f>
        <v>1.4711290322580655</v>
      </c>
    </row>
    <row r="97" spans="1:6" x14ac:dyDescent="0.3">
      <c r="A97" s="4">
        <f t="shared" si="4"/>
        <v>0.95000000000000062</v>
      </c>
      <c r="B97" s="4">
        <f>(Inputs!$C$2*A97)/(1+(Inputs!$C$2-1)*A97)</f>
        <v>0.97938144329896948</v>
      </c>
      <c r="C97" s="4">
        <f t="shared" si="2"/>
        <v>0.95000000000000062</v>
      </c>
      <c r="D97" s="4">
        <f>(Inputs!$C$6/(Inputs!$C$6+1))*A97 + (Inputs!$C$4/(Inputs!$C$6+1))</f>
        <v>0.93833333333333369</v>
      </c>
      <c r="E97" s="4">
        <f>Inputs!$C$3</f>
        <v>0.36</v>
      </c>
      <c r="F97" s="4">
        <f>IF(A97&lt;Inputs!$C$5, NA(), Inputs!$C$5 + $H$3*(A97 - Inputs!$C$5))</f>
        <v>1.4870967741935492</v>
      </c>
    </row>
    <row r="98" spans="1:6" x14ac:dyDescent="0.3">
      <c r="A98" s="4">
        <f t="shared" si="4"/>
        <v>0.96000000000000063</v>
      </c>
      <c r="B98" s="4">
        <f>(Inputs!$C$2*A98)/(1+(Inputs!$C$2-1)*A98)</f>
        <v>0.9836065573770495</v>
      </c>
      <c r="C98" s="4">
        <f t="shared" si="2"/>
        <v>0.96000000000000063</v>
      </c>
      <c r="D98" s="4">
        <f>(Inputs!$C$6/(Inputs!$C$6+1))*A98 + (Inputs!$C$4/(Inputs!$C$6+1))</f>
        <v>0.94500000000000028</v>
      </c>
      <c r="E98" s="4">
        <f>Inputs!$C$3</f>
        <v>0.36</v>
      </c>
      <c r="F98" s="4">
        <f>IF(A98&lt;Inputs!$C$5, NA(), Inputs!$C$5 + $H$3*(A98 - Inputs!$C$5))</f>
        <v>1.5030645161290332</v>
      </c>
    </row>
    <row r="99" spans="1:6" x14ac:dyDescent="0.3">
      <c r="A99" s="4">
        <f t="shared" si="4"/>
        <v>0.97000000000000064</v>
      </c>
      <c r="B99" s="4">
        <f>(Inputs!$C$2*A99)/(1+(Inputs!$C$2-1)*A99)</f>
        <v>0.98778004073319781</v>
      </c>
      <c r="C99" s="4">
        <f t="shared" si="2"/>
        <v>0.97000000000000064</v>
      </c>
      <c r="D99" s="4">
        <f>(Inputs!$C$6/(Inputs!$C$6+1))*A99 + (Inputs!$C$4/(Inputs!$C$6+1))</f>
        <v>0.9516666666666671</v>
      </c>
      <c r="E99" s="4">
        <f>Inputs!$C$3</f>
        <v>0.36</v>
      </c>
      <c r="F99" s="4">
        <f>IF(A99&lt;Inputs!$C$5, NA(), Inputs!$C$5 + $H$3*(A99 - Inputs!$C$5))</f>
        <v>1.519032258064517</v>
      </c>
    </row>
    <row r="100" spans="1:6" x14ac:dyDescent="0.3">
      <c r="A100" s="4">
        <f t="shared" si="4"/>
        <v>0.98000000000000065</v>
      </c>
      <c r="B100" s="4">
        <f>(Inputs!$C$2*A100)/(1+(Inputs!$C$2-1)*A100)</f>
        <v>0.99190283400809731</v>
      </c>
      <c r="C100" s="4">
        <f t="shared" si="2"/>
        <v>0.98000000000000065</v>
      </c>
      <c r="D100" s="4">
        <f>(Inputs!$C$6/(Inputs!$C$6+1))*A100 + (Inputs!$C$4/(Inputs!$C$6+1))</f>
        <v>0.9583333333333337</v>
      </c>
      <c r="E100" s="4">
        <f>Inputs!$C$3</f>
        <v>0.36</v>
      </c>
      <c r="F100" s="4">
        <f>IF(A100&lt;Inputs!$C$5, NA(), Inputs!$C$5 + $H$3*(A100 - Inputs!$C$5))</f>
        <v>1.535000000000001</v>
      </c>
    </row>
    <row r="101" spans="1:6" x14ac:dyDescent="0.3">
      <c r="A101" s="4">
        <f t="shared" si="4"/>
        <v>0.99000000000000066</v>
      </c>
      <c r="B101" s="4">
        <f>(Inputs!$C$2*A101)/(1+(Inputs!$C$2-1)*A101)</f>
        <v>0.99597585513078479</v>
      </c>
      <c r="C101" s="4">
        <f t="shared" si="2"/>
        <v>0.99000000000000066</v>
      </c>
      <c r="D101" s="4">
        <f>(Inputs!$C$6/(Inputs!$C$6+1))*A101 + (Inputs!$C$4/(Inputs!$C$6+1))</f>
        <v>0.9650000000000003</v>
      </c>
      <c r="E101" s="4">
        <f>Inputs!$C$3</f>
        <v>0.36</v>
      </c>
      <c r="F101" s="4">
        <f>IF(A101&lt;Inputs!$C$5, NA(), Inputs!$C$5 + $H$3*(A101 - Inputs!$C$5))</f>
        <v>1.5509677419354848</v>
      </c>
    </row>
    <row r="102" spans="1:6" x14ac:dyDescent="0.3">
      <c r="A102" s="4">
        <f t="shared" si="4"/>
        <v>1.0000000000000007</v>
      </c>
      <c r="B102" s="4">
        <f>(Inputs!$C$2*A102)/(1+(Inputs!$C$2-1)*A102)</f>
        <v>1.0000000000000004</v>
      </c>
      <c r="C102" s="4">
        <f t="shared" si="2"/>
        <v>1.0000000000000007</v>
      </c>
      <c r="D102" s="4">
        <f>(Inputs!$C$6/(Inputs!$C$6+1))*A102 + (Inputs!$C$4/(Inputs!$C$6+1))</f>
        <v>0.97166666666666712</v>
      </c>
      <c r="E102" s="4">
        <f>Inputs!$C$3</f>
        <v>0.36</v>
      </c>
      <c r="F102" s="4">
        <f>IF(A102&lt;Inputs!$C$5, NA(), Inputs!$C$5 + $H$3*(A102 - Inputs!$C$5))</f>
        <v>1.5669354838709686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McCabe Diagram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aksar kumar</dc:creator>
  <cp:lastModifiedBy>aksar kumar</cp:lastModifiedBy>
  <dcterms:created xsi:type="dcterms:W3CDTF">2026-03-02T14:13:35Z</dcterms:created>
  <dcterms:modified xsi:type="dcterms:W3CDTF">2026-03-02T15:09:14Z</dcterms:modified>
</cp:coreProperties>
</file>